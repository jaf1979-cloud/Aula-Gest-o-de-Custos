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8760" windowHeight="16140" tabRatio="600" firstSheet="0" activeTab="0" autoFilterDateGrouping="1"/>
  </bookViews>
  <sheets>
    <sheet xmlns:r="http://schemas.openxmlformats.org/officeDocument/2006/relationships" name="Ex1 Cutelaria" sheetId="1" state="visible" r:id="rId1"/>
    <sheet xmlns:r="http://schemas.openxmlformats.org/officeDocument/2006/relationships" name="Ex2 Fundição" sheetId="2" state="visible" r:id="rId2"/>
    <sheet xmlns:r="http://schemas.openxmlformats.org/officeDocument/2006/relationships" name="Ex3 Marcenaria" sheetId="3" state="visible" r:id="rId3"/>
    <sheet xmlns:r="http://schemas.openxmlformats.org/officeDocument/2006/relationships" name="Ex4 Implementos" sheetId="4" state="visible" r:id="rId4"/>
    <sheet xmlns:r="http://schemas.openxmlformats.org/officeDocument/2006/relationships" name="Ex5 Bicicletas" sheetId="5" state="visible" r:id="rId5"/>
  </sheets>
  <definedNames>
    <definedName name="_xlnm.Print_Area" localSheetId="0">'Ex1 Cutelaria'!$A$1:$J$78</definedName>
    <definedName name="_xlnm.Print_Area" localSheetId="1">'Ex2 Fundição'!$A$1:$K$97</definedName>
    <definedName name="_xlnm.Print_Area" localSheetId="2">'Ex3 Marcenaria'!$A$1:$K$97</definedName>
    <definedName name="_xlnm.Print_Area" localSheetId="3">'Ex4 Implementos'!$A$1:$L$95</definedName>
    <definedName name="_xlnm.Print_Area" localSheetId="4">'Ex5 Bicicletas'!$A$1:$M$107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$&quot;* #,##0.00_-;\-&quot;R$&quot;* #,##0.00_-;_-&quot;R$&quot;* &quot;-&quot;??_-;_-@"/>
    <numFmt numFmtId="165" formatCode="_-* #,##0.00_-;\-* #,##0.00_-;_-* &quot;-&quot;??_-;_-@_-"/>
  </numFmts>
  <fonts count="16">
    <font>
      <name val="Calibri"/>
      <family val="2"/>
      <color theme="1"/>
      <sz val="12"/>
      <scheme val="minor"/>
    </font>
    <font>
      <name val="Calibri"/>
      <family val="2"/>
      <color rgb="FF000000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sz val="14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i val="1"/>
      <color rgb="FF5A6878"/>
      <sz val="10"/>
    </font>
  </fonts>
  <fills count="19">
    <fill>
      <patternFill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theme="0"/>
        <bgColor rgb="FF8EAADB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8EAADB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FFFF00"/>
      </patternFill>
    </fill>
    <fill>
      <patternFill patternType="solid">
        <fgColor rgb="FFFFFF00"/>
        <bgColor rgb="FF8EAADB"/>
      </patternFill>
    </fill>
    <fill>
      <patternFill patternType="solid">
        <fgColor theme="9" tint="0.7999816888943144"/>
        <bgColor rgb="FF8EAADB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rgb="FFFEF2CB"/>
      </patternFill>
    </fill>
    <fill>
      <patternFill patternType="solid">
        <fgColor theme="9" tint="0.7999816888943144"/>
        <bgColor rgb="FFFEF2CB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3">
    <xf numFmtId="0" fontId="9" fillId="0" borderId="0"/>
    <xf numFmtId="43" fontId="9" fillId="0" borderId="0"/>
    <xf numFmtId="9" fontId="9" fillId="0" borderId="0"/>
  </cellStyleXfs>
  <cellXfs count="125">
    <xf numFmtId="0" fontId="0" fillId="0" borderId="0" pivotButton="0" quotePrefix="0" xfId="0"/>
    <xf numFmtId="0" fontId="3" fillId="5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1" fillId="2" borderId="8" applyAlignment="1" pivotButton="0" quotePrefix="0" xfId="0">
      <alignment vertical="center" wrapText="1"/>
    </xf>
    <xf numFmtId="0" fontId="1" fillId="4" borderId="9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164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/>
    </xf>
    <xf numFmtId="0" fontId="1" fillId="4" borderId="11" applyAlignment="1" pivotButton="0" quotePrefix="0" xfId="0">
      <alignment horizontal="center" vertical="center"/>
    </xf>
    <xf numFmtId="164" fontId="1" fillId="0" borderId="12" applyAlignment="1" pivotButton="0" quotePrefix="0" xfId="0">
      <alignment horizontal="center" vertical="center"/>
    </xf>
    <xf numFmtId="164" fontId="1" fillId="3" borderId="12" applyAlignment="1" pivotButton="0" quotePrefix="0" xfId="0">
      <alignment horizontal="center" vertical="center"/>
    </xf>
    <xf numFmtId="0" fontId="1" fillId="2" borderId="5" applyAlignment="1" pivotButton="0" quotePrefix="0" xfId="0">
      <alignment horizontal="right"/>
    </xf>
    <xf numFmtId="0" fontId="1" fillId="4" borderId="14" applyAlignment="1" pivotButton="0" quotePrefix="0" xfId="0">
      <alignment horizontal="center" vertical="center"/>
    </xf>
    <xf numFmtId="164" fontId="1" fillId="0" borderId="15" applyAlignment="1" pivotButton="0" quotePrefix="0" xfId="0">
      <alignment horizontal="center" vertical="center"/>
    </xf>
    <xf numFmtId="164" fontId="1" fillId="3" borderId="15" applyAlignment="1" pivotButton="0" quotePrefix="0" xfId="0">
      <alignment horizontal="center" vertical="center"/>
    </xf>
    <xf numFmtId="164" fontId="1" fillId="2" borderId="6" applyAlignment="1" pivotButton="0" quotePrefix="0" xfId="0">
      <alignment horizontal="left"/>
    </xf>
    <xf numFmtId="164" fontId="1" fillId="2" borderId="1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8" fillId="7" borderId="7" applyAlignment="1" pivotButton="0" quotePrefix="0" xfId="0">
      <alignment horizontal="center"/>
    </xf>
    <xf numFmtId="0" fontId="1" fillId="8" borderId="2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8" borderId="16" applyAlignment="1" pivotButton="0" quotePrefix="0" xfId="0">
      <alignment horizontal="center" vertical="center"/>
    </xf>
    <xf numFmtId="0" fontId="3" fillId="9" borderId="7" applyAlignment="1" pivotButton="0" quotePrefix="0" xfId="0">
      <alignment horizontal="center" vertical="center" wrapText="1"/>
    </xf>
    <xf numFmtId="0" fontId="1" fillId="10" borderId="9" applyAlignment="1" pivotButton="0" quotePrefix="0" xfId="0">
      <alignment horizontal="center" vertical="center"/>
    </xf>
    <xf numFmtId="0" fontId="1" fillId="10" borderId="11" applyAlignment="1" pivotButton="0" quotePrefix="0" xfId="0">
      <alignment horizontal="center" vertical="center"/>
    </xf>
    <xf numFmtId="0" fontId="1" fillId="10" borderId="14" applyAlignment="1" pivotButton="0" quotePrefix="0" xfId="0">
      <alignment horizontal="center" vertical="center"/>
    </xf>
    <xf numFmtId="0" fontId="6" fillId="11" borderId="1" applyAlignment="1" pivotButton="0" quotePrefix="0" xfId="0">
      <alignment horizontal="right" vertical="center"/>
    </xf>
    <xf numFmtId="0" fontId="6" fillId="11" borderId="18" applyAlignment="1" pivotButton="0" quotePrefix="0" xfId="0">
      <alignment horizontal="right" vertical="center"/>
    </xf>
    <xf numFmtId="0" fontId="2" fillId="12" borderId="4" applyAlignment="1" pivotButton="0" quotePrefix="0" xfId="0">
      <alignment horizontal="right"/>
    </xf>
    <xf numFmtId="164" fontId="2" fillId="12" borderId="1" applyAlignment="1" pivotButton="0" quotePrefix="0" xfId="0">
      <alignment horizontal="left"/>
    </xf>
    <xf numFmtId="164" fontId="2" fillId="12" borderId="6" applyAlignment="1" pivotButton="0" quotePrefix="0" xfId="0">
      <alignment horizontal="left"/>
    </xf>
    <xf numFmtId="164" fontId="2" fillId="11" borderId="10" applyAlignment="1" pivotButton="0" quotePrefix="0" xfId="0">
      <alignment horizontal="left"/>
    </xf>
    <xf numFmtId="164" fontId="2" fillId="11" borderId="13" applyAlignment="1" pivotButton="0" quotePrefix="0" xfId="0">
      <alignment horizontal="left"/>
    </xf>
    <xf numFmtId="164" fontId="2" fillId="11" borderId="17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4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14" borderId="42" applyAlignment="1" pivotButton="0" quotePrefix="0" xfId="0">
      <alignment horizontal="center"/>
    </xf>
    <xf numFmtId="0" fontId="0" fillId="14" borderId="40" applyAlignment="1" pivotButton="0" quotePrefix="0" xfId="0">
      <alignment horizontal="center"/>
    </xf>
    <xf numFmtId="0" fontId="0" fillId="14" borderId="43" applyAlignment="1" pivotButton="0" quotePrefix="0" xfId="0">
      <alignment horizontal="center"/>
    </xf>
    <xf numFmtId="0" fontId="0" fillId="14" borderId="44" applyAlignment="1" pivotButton="0" quotePrefix="0" xfId="0">
      <alignment horizontal="center"/>
    </xf>
    <xf numFmtId="0" fontId="10" fillId="15" borderId="4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1" fillId="0" borderId="46" applyAlignment="1" pivotButton="0" quotePrefix="0" xfId="0">
      <alignment horizontal="center"/>
    </xf>
    <xf numFmtId="0" fontId="0" fillId="4" borderId="40" applyAlignment="1" pivotButton="0" quotePrefix="0" xfId="0">
      <alignment horizontal="center"/>
    </xf>
    <xf numFmtId="0" fontId="0" fillId="4" borderId="43" applyAlignment="1" pivotButton="0" quotePrefix="0" xfId="0">
      <alignment horizontal="center"/>
    </xf>
    <xf numFmtId="165" fontId="0" fillId="0" borderId="30" applyAlignment="1" pivotButton="0" quotePrefix="0" xfId="1">
      <alignment horizontal="center"/>
    </xf>
    <xf numFmtId="9" fontId="0" fillId="0" borderId="30" applyAlignment="1" pivotButton="0" quotePrefix="0" xfId="2">
      <alignment horizontal="center"/>
    </xf>
    <xf numFmtId="9" fontId="13" fillId="0" borderId="30" applyAlignment="1" pivotButton="0" quotePrefix="0" xfId="2">
      <alignment horizontal="center"/>
    </xf>
    <xf numFmtId="0" fontId="11" fillId="4" borderId="42" applyAlignment="1" pivotButton="0" quotePrefix="0" xfId="0">
      <alignment horizontal="center"/>
    </xf>
    <xf numFmtId="165" fontId="0" fillId="0" borderId="22" applyAlignment="1" pivotButton="0" quotePrefix="0" xfId="1">
      <alignment horizontal="center"/>
    </xf>
    <xf numFmtId="9" fontId="0" fillId="0" borderId="22" applyAlignment="1" pivotButton="0" quotePrefix="0" xfId="2">
      <alignment horizontal="center"/>
    </xf>
    <xf numFmtId="9" fontId="13" fillId="0" borderId="22" applyAlignment="1" pivotButton="0" quotePrefix="0" xfId="2">
      <alignment horizontal="center"/>
    </xf>
    <xf numFmtId="0" fontId="11" fillId="4" borderId="47" applyAlignment="1" pivotButton="0" quotePrefix="0" xfId="0">
      <alignment horizontal="center"/>
    </xf>
    <xf numFmtId="0" fontId="0" fillId="0" borderId="30" pivotButton="0" quotePrefix="0" xfId="0"/>
    <xf numFmtId="0" fontId="11" fillId="0" borderId="0" pivotButton="0" quotePrefix="0" xfId="0"/>
    <xf numFmtId="0" fontId="11" fillId="0" borderId="31" pivotButton="0" quotePrefix="0" xfId="0"/>
    <xf numFmtId="165" fontId="0" fillId="0" borderId="30" pivotButton="0" quotePrefix="0" xfId="1"/>
    <xf numFmtId="0" fontId="0" fillId="0" borderId="33" pivotButton="0" quotePrefix="0" xfId="0"/>
    <xf numFmtId="0" fontId="14" fillId="0" borderId="32" pivotButton="0" quotePrefix="0" xfId="0"/>
    <xf numFmtId="0" fontId="14" fillId="0" borderId="28" pivotButton="0" quotePrefix="0" xfId="0"/>
    <xf numFmtId="0" fontId="0" fillId="0" borderId="23" pivotButton="0" quotePrefix="0" xfId="0"/>
    <xf numFmtId="0" fontId="11" fillId="0" borderId="26" pivotButton="0" quotePrefix="0" xfId="0"/>
    <xf numFmtId="0" fontId="0" fillId="0" borderId="24" pivotButton="0" quotePrefix="0" xfId="0"/>
    <xf numFmtId="0" fontId="11" fillId="0" borderId="48" pivotButton="0" quotePrefix="0" xfId="0"/>
    <xf numFmtId="0" fontId="0" fillId="0" borderId="47" pivotButton="0" quotePrefix="0" xfId="0"/>
    <xf numFmtId="0" fontId="0" fillId="0" borderId="49" pivotButton="0" quotePrefix="0" xfId="0"/>
    <xf numFmtId="0" fontId="11" fillId="0" borderId="28" pivotButton="0" quotePrefix="0" xfId="0"/>
    <xf numFmtId="0" fontId="0" fillId="0" borderId="22" pivotButton="0" quotePrefix="0" xfId="0"/>
    <xf numFmtId="0" fontId="11" fillId="0" borderId="50" applyAlignment="1" pivotButton="0" quotePrefix="0" xfId="0">
      <alignment horizontal="center"/>
    </xf>
    <xf numFmtId="0" fontId="11" fillId="0" borderId="51" applyAlignment="1" pivotButton="0" quotePrefix="0" xfId="0">
      <alignment horizontal="center"/>
    </xf>
    <xf numFmtId="0" fontId="10" fillId="18" borderId="4" applyAlignment="1" pivotButton="0" quotePrefix="0" xfId="0">
      <alignment horizontal="center"/>
    </xf>
    <xf numFmtId="0" fontId="10" fillId="18" borderId="5" applyAlignment="1" pivotButton="0" quotePrefix="0" xfId="0">
      <alignment horizontal="center"/>
    </xf>
    <xf numFmtId="0" fontId="10" fillId="18" borderId="6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0" fillId="15" borderId="45" applyAlignment="1" pivotButton="0" quotePrefix="0" xfId="0">
      <alignment horizontal="center"/>
    </xf>
    <xf numFmtId="0" fontId="10" fillId="15" borderId="29" applyAlignment="1" pivotButton="0" quotePrefix="0" xfId="0">
      <alignment horizontal="center"/>
    </xf>
    <xf numFmtId="0" fontId="7" fillId="6" borderId="4" applyAlignment="1" pivotButton="0" quotePrefix="0" xfId="0">
      <alignment horizontal="center"/>
    </xf>
    <xf numFmtId="0" fontId="7" fillId="6" borderId="5" applyAlignment="1" pivotButton="0" quotePrefix="0" xfId="0">
      <alignment horizontal="center"/>
    </xf>
    <xf numFmtId="0" fontId="7" fillId="6" borderId="6" applyAlignment="1" pivotButton="0" quotePrefix="0" xfId="0">
      <alignment horizontal="center"/>
    </xf>
    <xf numFmtId="0" fontId="10" fillId="13" borderId="4" applyAlignment="1" pivotButton="0" quotePrefix="0" xfId="0">
      <alignment horizontal="center"/>
    </xf>
    <xf numFmtId="0" fontId="10" fillId="13" borderId="5" applyAlignment="1" pivotButton="0" quotePrefix="0" xfId="0">
      <alignment horizontal="center"/>
    </xf>
    <xf numFmtId="0" fontId="10" fillId="13" borderId="6" applyAlignment="1" pivotButton="0" quotePrefix="0" xfId="0">
      <alignment horizontal="center"/>
    </xf>
    <xf numFmtId="0" fontId="10" fillId="16" borderId="4" applyAlignment="1" pivotButton="0" quotePrefix="0" xfId="0">
      <alignment horizontal="center"/>
    </xf>
    <xf numFmtId="0" fontId="10" fillId="16" borderId="5" applyAlignment="1" pivotButton="0" quotePrefix="0" xfId="0">
      <alignment horizontal="center"/>
    </xf>
    <xf numFmtId="0" fontId="10" fillId="16" borderId="6" applyAlignment="1" pivotButton="0" quotePrefix="0" xfId="0">
      <alignment horizontal="center"/>
    </xf>
    <xf numFmtId="0" fontId="12" fillId="17" borderId="21" applyAlignment="1" pivotButton="0" quotePrefix="0" xfId="0">
      <alignment horizontal="center"/>
    </xf>
    <xf numFmtId="0" fontId="8" fillId="0" borderId="0" pivotButton="0" quotePrefix="0" xfId="0"/>
    <xf numFmtId="0" fontId="7" fillId="6" borderId="1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10" fillId="13" borderId="1" applyAlignment="1" pivotButton="0" quotePrefix="0" xfId="0">
      <alignment horizontal="center"/>
    </xf>
    <xf numFmtId="3" fontId="1" fillId="10" borderId="9" applyAlignment="1" pivotButton="0" quotePrefix="0" xfId="0">
      <alignment horizontal="center" vertical="center"/>
    </xf>
    <xf numFmtId="4" fontId="0" fillId="0" borderId="41" applyAlignment="1" pivotButton="0" quotePrefix="0" xfId="0">
      <alignment horizontal="center"/>
    </xf>
    <xf numFmtId="3" fontId="1" fillId="4" borderId="9" applyAlignment="1" pivotButton="0" quotePrefix="0" xfId="0">
      <alignment horizontal="center" vertical="center"/>
    </xf>
    <xf numFmtId="4" fontId="10" fillId="15" borderId="40" applyAlignment="1" pivotButton="0" quotePrefix="0" xfId="0">
      <alignment horizontal="center"/>
    </xf>
    <xf numFmtId="164" fontId="1" fillId="2" borderId="1" applyAlignment="1" pivotButton="0" quotePrefix="0" xfId="0">
      <alignment horizontal="right"/>
    </xf>
    <xf numFmtId="164" fontId="2" fillId="12" borderId="4" applyAlignment="1" pivotButton="0" quotePrefix="0" xfId="0">
      <alignment horizontal="right"/>
    </xf>
    <xf numFmtId="3" fontId="0" fillId="0" borderId="41" applyAlignment="1" pivotButton="0" quotePrefix="0" xfId="0">
      <alignment horizontal="center"/>
    </xf>
    <xf numFmtId="0" fontId="10" fillId="16" borderId="1" applyAlignment="1" pivotButton="0" quotePrefix="0" xfId="0">
      <alignment horizontal="center"/>
    </xf>
    <xf numFmtId="3" fontId="0" fillId="0" borderId="19" applyAlignment="1" pivotButton="0" quotePrefix="0" xfId="0">
      <alignment horizontal="center"/>
    </xf>
    <xf numFmtId="0" fontId="0" fillId="0" borderId="21" pivotButton="0" quotePrefix="0" xfId="0"/>
    <xf numFmtId="4" fontId="0" fillId="0" borderId="22" applyAlignment="1" pivotButton="0" quotePrefix="0" xfId="1">
      <alignment horizontal="center"/>
    </xf>
    <xf numFmtId="0" fontId="15" fillId="0" borderId="31" pivotButton="0" quotePrefix="0" xfId="0"/>
    <xf numFmtId="0" fontId="10" fillId="15" borderId="54" applyAlignment="1" pivotButton="0" quotePrefix="0" xfId="0">
      <alignment horizontal="center"/>
    </xf>
    <xf numFmtId="0" fontId="0" fillId="0" borderId="56" pivotButton="0" quotePrefix="0" xfId="0"/>
    <xf numFmtId="3" fontId="0" fillId="0" borderId="30" pivotButton="0" quotePrefix="0" xfId="0"/>
    <xf numFmtId="164" fontId="0" fillId="0" borderId="30" pivotButton="0" quotePrefix="0" xfId="0"/>
    <xf numFmtId="4" fontId="0" fillId="0" borderId="30" pivotButton="0" quotePrefix="0" xfId="0"/>
    <xf numFmtId="0" fontId="10" fillId="18" borderId="1" applyAlignment="1" pivotButton="0" quotePrefix="0" xfId="0">
      <alignment horizontal="center"/>
    </xf>
    <xf numFmtId="3" fontId="0" fillId="0" borderId="22" pivotButton="0" quotePrefix="0" xfId="0"/>
    <xf numFmtId="4" fontId="0" fillId="0" borderId="22" pivotButton="0" quotePrefix="0" xfId="0"/>
    <xf numFmtId="164" fontId="0" fillId="0" borderId="22" pivotButton="0" quotePrefix="0" xfId="0"/>
    <xf numFmtId="164" fontId="0" fillId="0" borderId="23" pivotButton="0" quotePrefix="0" xfId="0"/>
  </cellXfs>
  <cellStyles count="3">
    <cellStyle name="Normal" xfId="0" builtinId="0"/>
    <cellStyle name="Vírgula" xfId="1" builtinId="3"/>
    <cellStyle name="Porcentagem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7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8" customWidth="1" min="3" max="3"/>
    <col width="17" customWidth="1" min="4" max="4"/>
    <col width="17" customWidth="1" min="5" max="5"/>
    <col width="17" customWidth="1" min="6" max="6"/>
    <col width="22" customWidth="1" min="8" max="8"/>
    <col width="16" customWidth="1" min="9" max="9"/>
    <col width="16" customWidth="1" min="10" max="10"/>
  </cols>
  <sheetData>
    <row r="1">
      <c r="B1" s="98" t="inlineStr">
        <is>
          <t>Exercício 1 – Cutelaria Lâmina Gaúcha Ltda.</t>
        </is>
      </c>
    </row>
    <row r="2">
      <c r="C2" s="99" t="inlineStr">
        <is>
          <t>SEÇÕES</t>
        </is>
      </c>
      <c r="D2" s="100" t="n"/>
      <c r="E2" s="101" t="n"/>
      <c r="H2" s="102" t="inlineStr">
        <is>
          <t>CUSTOS DO MÊS</t>
        </is>
      </c>
      <c r="I2" s="100" t="n"/>
      <c r="J2" s="101" t="n"/>
    </row>
    <row r="3">
      <c r="B3" s="18" t="inlineStr">
        <is>
          <t>CUSTOS/DIRECIONADORES</t>
        </is>
      </c>
      <c r="C3" s="19" t="inlineStr">
        <is>
          <t>ADMINISTRAÇÃO</t>
        </is>
      </c>
      <c r="D3" s="19" t="inlineStr">
        <is>
          <t>FORJAMENTO</t>
        </is>
      </c>
      <c r="E3" s="19" t="inlineStr">
        <is>
          <t>AFIAÇÃO</t>
        </is>
      </c>
      <c r="F3" s="19" t="inlineStr">
        <is>
          <t>TOTAL</t>
        </is>
      </c>
      <c r="H3" s="52" t="inlineStr">
        <is>
          <t>CUSTO</t>
        </is>
      </c>
      <c r="I3" s="52" t="inlineStr">
        <is>
          <t>VALOR</t>
        </is>
      </c>
      <c r="J3" s="52" t="inlineStr">
        <is>
          <t>DIRECIONADOR</t>
        </is>
      </c>
    </row>
    <row r="4">
      <c r="B4" s="22" t="inlineStr">
        <is>
          <t>Nº FUNCIONÁRIOS</t>
        </is>
      </c>
      <c r="C4" s="103">
        <f>C25</f>
        <v/>
      </c>
      <c r="D4" s="103">
        <f>D25</f>
        <v/>
      </c>
      <c r="E4" s="103">
        <f>E25</f>
        <v/>
      </c>
      <c r="F4" s="23" t="n"/>
      <c r="H4" s="45" t="inlineStr">
        <is>
          <t>Salários Administração</t>
        </is>
      </c>
      <c r="I4" s="104" t="n">
        <v>18000</v>
      </c>
      <c r="J4" s="44" t="inlineStr">
        <is>
          <t>Direto</t>
        </is>
      </c>
    </row>
    <row r="5">
      <c r="B5" s="2" t="inlineStr">
        <is>
          <t>SALÁRIOS (DIRETO)</t>
        </is>
      </c>
      <c r="C5" s="5">
        <f>$I$4</f>
        <v/>
      </c>
      <c r="D5" s="5">
        <f>$I$5</f>
        <v/>
      </c>
      <c r="E5" s="5">
        <f>$I$6</f>
        <v/>
      </c>
      <c r="F5" s="5">
        <f>SUM(C5:E5)</f>
        <v/>
      </c>
      <c r="H5" s="45" t="inlineStr">
        <is>
          <t>Salários Forjamento</t>
        </is>
      </c>
      <c r="I5" s="104" t="n">
        <v>42000</v>
      </c>
      <c r="J5" s="44" t="inlineStr">
        <is>
          <t>Direto</t>
        </is>
      </c>
    </row>
    <row r="6">
      <c r="B6" s="1" t="inlineStr">
        <is>
          <t>ÁREA OCUPADA (M²)</t>
        </is>
      </c>
      <c r="C6" s="105">
        <f>C26</f>
        <v/>
      </c>
      <c r="D6" s="105">
        <f>D26</f>
        <v/>
      </c>
      <c r="E6" s="105">
        <f>E26</f>
        <v/>
      </c>
      <c r="F6" s="105">
        <f>SUM(C6:E6)</f>
        <v/>
      </c>
      <c r="H6" s="45" t="inlineStr">
        <is>
          <t>Salários Afiação</t>
        </is>
      </c>
      <c r="I6" s="104" t="n">
        <v>30000</v>
      </c>
      <c r="J6" s="44" t="inlineStr">
        <is>
          <t>Direto</t>
        </is>
      </c>
    </row>
    <row r="7">
      <c r="B7" s="2" t="inlineStr">
        <is>
          <t>ALUGUEL</t>
        </is>
      </c>
      <c r="C7" s="5">
        <f>$I$7*C6/$F$6</f>
        <v/>
      </c>
      <c r="D7" s="5">
        <f>$I$7*D6/$F$6</f>
        <v/>
      </c>
      <c r="E7" s="5">
        <f>$I$7*E6/$F$6</f>
        <v/>
      </c>
      <c r="F7" s="5">
        <f>SUM(C7:E7)</f>
        <v/>
      </c>
      <c r="H7" s="45" t="inlineStr">
        <is>
          <t>Aluguel</t>
        </is>
      </c>
      <c r="I7" s="104" t="n">
        <v>12000</v>
      </c>
      <c r="J7" s="44" t="inlineStr">
        <is>
          <t>M²</t>
        </is>
      </c>
    </row>
    <row r="8">
      <c r="B8" s="22" t="inlineStr">
        <is>
          <t>ÁREA OCUPADA (M²)</t>
        </is>
      </c>
      <c r="C8" s="103">
        <f>C26</f>
        <v/>
      </c>
      <c r="D8" s="103">
        <f>D26</f>
        <v/>
      </c>
      <c r="E8" s="103">
        <f>E26</f>
        <v/>
      </c>
      <c r="F8" s="103">
        <f>SUM(C8:E8)</f>
        <v/>
      </c>
      <c r="H8" s="45" t="inlineStr">
        <is>
          <t>Seguro do imóvel</t>
        </is>
      </c>
      <c r="I8" s="104" t="n">
        <v>4800</v>
      </c>
      <c r="J8" s="44" t="inlineStr">
        <is>
          <t>M²</t>
        </is>
      </c>
    </row>
    <row r="9">
      <c r="B9" s="2" t="inlineStr">
        <is>
          <t>SEGURO DO IMÓVEL</t>
        </is>
      </c>
      <c r="C9" s="5">
        <f>$I$8*C8/$F$8</f>
        <v/>
      </c>
      <c r="D9" s="5">
        <f>$I$8*D8/$F$8</f>
        <v/>
      </c>
      <c r="E9" s="5">
        <f>$I$8*E8/$F$8</f>
        <v/>
      </c>
      <c r="F9" s="5">
        <f>SUM(C9:E9)</f>
        <v/>
      </c>
      <c r="H9" s="45" t="inlineStr">
        <is>
          <t>Energia elétrica</t>
        </is>
      </c>
      <c r="I9" s="104" t="n">
        <v>16500</v>
      </c>
      <c r="J9" s="44" t="inlineStr">
        <is>
          <t>Potência Inst.</t>
        </is>
      </c>
    </row>
    <row r="10">
      <c r="B10" s="1" t="inlineStr">
        <is>
          <t>POTÊNCIA INSTALADA (KW)</t>
        </is>
      </c>
      <c r="C10" s="105">
        <f>C27</f>
        <v/>
      </c>
      <c r="D10" s="105">
        <f>D27</f>
        <v/>
      </c>
      <c r="E10" s="105">
        <f>E27</f>
        <v/>
      </c>
      <c r="F10" s="105">
        <f>SUM(C10:E10)</f>
        <v/>
      </c>
      <c r="H10" s="45" t="inlineStr">
        <is>
          <t>Material auxiliar</t>
        </is>
      </c>
      <c r="I10" s="104" t="n">
        <v>6300</v>
      </c>
      <c r="J10" s="44" t="inlineStr">
        <is>
          <t>Nº Requisições</t>
        </is>
      </c>
    </row>
    <row r="11">
      <c r="B11" s="2" t="inlineStr">
        <is>
          <t>ENERGIA ELÉTRICA</t>
        </is>
      </c>
      <c r="C11" s="5">
        <f>$I$9*C10/$F$10</f>
        <v/>
      </c>
      <c r="D11" s="5">
        <f>$I$9*D10/$F$10</f>
        <v/>
      </c>
      <c r="E11" s="5">
        <f>$I$9*E10/$F$10</f>
        <v/>
      </c>
      <c r="F11" s="5">
        <f>SUM(C11:E11)</f>
        <v/>
      </c>
      <c r="H11" s="45" t="inlineStr">
        <is>
          <t>Manutenção de equipamentos</t>
        </is>
      </c>
      <c r="I11" s="104" t="n">
        <v>9600</v>
      </c>
      <c r="J11" s="44" t="inlineStr">
        <is>
          <t>Nº Ordens</t>
        </is>
      </c>
    </row>
    <row r="12">
      <c r="B12" s="22" t="inlineStr">
        <is>
          <t>Nº REQUISIÇÕES</t>
        </is>
      </c>
      <c r="C12" s="103">
        <f>C28</f>
        <v/>
      </c>
      <c r="D12" s="103">
        <f>D28</f>
        <v/>
      </c>
      <c r="E12" s="103">
        <f>E28</f>
        <v/>
      </c>
      <c r="F12" s="103">
        <f>SUM(C12:E12)</f>
        <v/>
      </c>
      <c r="H12" s="52" t="inlineStr">
        <is>
          <t>TOTAL</t>
        </is>
      </c>
      <c r="I12" s="106">
        <f>SUM(I4:I11)</f>
        <v/>
      </c>
      <c r="J12" s="52" t="n"/>
    </row>
    <row r="13">
      <c r="B13" s="2" t="inlineStr">
        <is>
          <t>MATERIAL AUXILIAR</t>
        </is>
      </c>
      <c r="C13" s="5">
        <f>$I$10*C12/$F$12</f>
        <v/>
      </c>
      <c r="D13" s="5">
        <f>$I$10*D12/$F$12</f>
        <v/>
      </c>
      <c r="E13" s="5">
        <f>$I$10*E12/$F$12</f>
        <v/>
      </c>
      <c r="F13" s="5">
        <f>SUM(C13:E13)</f>
        <v/>
      </c>
    </row>
    <row r="14">
      <c r="B14" s="1" t="inlineStr">
        <is>
          <t>Nº ORDENS DE MANUTENÇÃO</t>
        </is>
      </c>
      <c r="C14" s="105">
        <f>C29</f>
        <v/>
      </c>
      <c r="D14" s="105">
        <f>D29</f>
        <v/>
      </c>
      <c r="E14" s="105">
        <f>E29</f>
        <v/>
      </c>
      <c r="F14" s="105">
        <f>SUM(C14:E14)</f>
        <v/>
      </c>
    </row>
    <row r="15">
      <c r="B15" s="2" t="inlineStr">
        <is>
          <t>MANUTENÇÃO DE EQUIPAMENTOS</t>
        </is>
      </c>
      <c r="C15" s="5">
        <f>$I$11*C14/$F$14</f>
        <v/>
      </c>
      <c r="D15" s="5">
        <f>$I$11*D14/$F$14</f>
        <v/>
      </c>
      <c r="E15" s="5">
        <f>$I$11*E14/$F$14</f>
        <v/>
      </c>
      <c r="F15" s="5">
        <f>SUM(C15:E15)</f>
        <v/>
      </c>
    </row>
    <row r="16">
      <c r="B16" s="26" t="inlineStr">
        <is>
          <t>1º RATEIO  ∑</t>
        </is>
      </c>
      <c r="C16" s="31">
        <f>C5+C7+C9+C11+C13+C15</f>
        <v/>
      </c>
      <c r="D16" s="31">
        <f>D5+D7+D9+D11+D13+D15</f>
        <v/>
      </c>
      <c r="E16" s="31">
        <f>E5+E7+E9+E11+E13+E15</f>
        <v/>
      </c>
      <c r="F16" s="31">
        <f>F5+F7+F9+F11+F13+F15</f>
        <v/>
      </c>
    </row>
    <row r="17">
      <c r="B17" s="27" t="inlineStr">
        <is>
          <t>2º RATEIO – ADMINISTRAÇÃO  ∑</t>
        </is>
      </c>
      <c r="C17" s="107">
        <f>-(C16)</f>
        <v/>
      </c>
      <c r="D17" s="107">
        <f>($C16)*$D$25/($D$25+$E$25)</f>
        <v/>
      </c>
      <c r="E17" s="107">
        <f>($C16)*$E$25/($D$25+$E$25)</f>
        <v/>
      </c>
      <c r="F17" s="107">
        <f>SUM(C17:E17)</f>
        <v/>
      </c>
    </row>
    <row r="18">
      <c r="C18" s="17" t="inlineStr">
        <is>
          <t>∑ TOTAL</t>
        </is>
      </c>
      <c r="D18" s="108">
        <f>D16+D17</f>
        <v/>
      </c>
      <c r="E18" s="108">
        <f>E16+E17</f>
        <v/>
      </c>
      <c r="F18" s="108">
        <f>F16+F17</f>
        <v/>
      </c>
    </row>
    <row r="22">
      <c r="B22" s="85" t="inlineStr">
        <is>
          <t>DIRECIONADORES DE RATEIO</t>
        </is>
      </c>
    </row>
    <row r="23">
      <c r="C23" s="102" t="inlineStr">
        <is>
          <t>SEÇÕES</t>
        </is>
      </c>
      <c r="D23" s="100" t="n"/>
      <c r="E23" s="101" t="n"/>
    </row>
    <row r="24">
      <c r="B24" s="52" t="inlineStr">
        <is>
          <t>DIRECIONADORES</t>
        </is>
      </c>
      <c r="C24" s="48" t="inlineStr">
        <is>
          <t>ADMINISTRAÇÃO</t>
        </is>
      </c>
      <c r="D24" s="48" t="inlineStr">
        <is>
          <t>FORJAMENTO</t>
        </is>
      </c>
      <c r="E24" s="48" t="inlineStr">
        <is>
          <t>AFIAÇÃO</t>
        </is>
      </c>
    </row>
    <row r="25">
      <c r="B25" s="45" t="inlineStr">
        <is>
          <t>Nº FUNCIONÁRIOS</t>
        </is>
      </c>
      <c r="C25" s="109" t="n">
        <v>6</v>
      </c>
      <c r="D25" s="109" t="n">
        <v>8</v>
      </c>
      <c r="E25" s="109" t="n">
        <v>6</v>
      </c>
    </row>
    <row r="26">
      <c r="B26" s="45" t="inlineStr">
        <is>
          <t>ÁREA OCUPADA (M²)</t>
        </is>
      </c>
      <c r="C26" s="109" t="n">
        <v>150</v>
      </c>
      <c r="D26" s="109" t="n">
        <v>500</v>
      </c>
      <c r="E26" s="109" t="n">
        <v>350</v>
      </c>
    </row>
    <row r="27">
      <c r="B27" s="45" t="inlineStr">
        <is>
          <t>POTÊNCIA INSTALADA (KW)</t>
        </is>
      </c>
      <c r="C27" s="109" t="n">
        <v>20</v>
      </c>
      <c r="D27" s="109" t="n">
        <v>180</v>
      </c>
      <c r="E27" s="109" t="n">
        <v>100</v>
      </c>
    </row>
    <row r="28">
      <c r="B28" s="45" t="inlineStr">
        <is>
          <t>Nº REQUISIÇÕES</t>
        </is>
      </c>
      <c r="C28" s="109" t="n">
        <v>4</v>
      </c>
      <c r="D28" s="109" t="n">
        <v>30</v>
      </c>
      <c r="E28" s="109" t="n">
        <v>16</v>
      </c>
    </row>
    <row r="29">
      <c r="B29" s="45" t="inlineStr">
        <is>
          <t>Nº ORDENS DE MANUTENÇÃO</t>
        </is>
      </c>
      <c r="C29" s="109" t="n">
        <v>0</v>
      </c>
      <c r="D29" s="109" t="n">
        <v>12</v>
      </c>
      <c r="E29" s="109" t="n">
        <v>8</v>
      </c>
    </row>
    <row r="30">
      <c r="B30" s="45" t="inlineStr">
        <is>
          <t>HORAS TRABALHADAS/MÊS (POR FUNC.)</t>
        </is>
      </c>
      <c r="C30" s="109" t="n"/>
      <c r="D30" s="109" t="n">
        <v>176</v>
      </c>
      <c r="E30" s="109" t="n">
        <v>176</v>
      </c>
    </row>
    <row r="33">
      <c r="C33" s="110" t="inlineStr">
        <is>
          <t>TEMPO DE PROCESSO DOS PRODUTOS (MIN/UN)</t>
        </is>
      </c>
      <c r="D33" s="100" t="n"/>
      <c r="E33" s="101" t="n"/>
    </row>
    <row r="34">
      <c r="C34" s="60" t="inlineStr">
        <is>
          <t>PRODUTO  / SEÇÃO</t>
        </is>
      </c>
      <c r="D34" s="55" t="inlineStr">
        <is>
          <t>FORJAMENTO</t>
        </is>
      </c>
      <c r="E34" s="55" t="inlineStr">
        <is>
          <t>AFIAÇÃO</t>
        </is>
      </c>
    </row>
    <row r="35">
      <c r="C35" s="44" t="inlineStr">
        <is>
          <t>FACA DO CHEF 8"</t>
        </is>
      </c>
      <c r="D35" s="111" t="n">
        <v>25</v>
      </c>
      <c r="E35" s="111" t="n">
        <v>18</v>
      </c>
    </row>
    <row r="36">
      <c r="C36" s="44" t="inlineStr">
        <is>
          <t>FACA CAMPEIRA 10"</t>
        </is>
      </c>
      <c r="D36" s="111" t="n">
        <v>32</v>
      </c>
      <c r="E36" s="111" t="n">
        <v>22</v>
      </c>
    </row>
    <row r="39">
      <c r="C39" s="97" t="inlineStr">
        <is>
          <t>MATÉRIA-PRIMA / CUSTOS VARIÁVEIS (%) / MARGEM DE LUCRO (%)</t>
        </is>
      </c>
      <c r="D39" s="112" t="n"/>
      <c r="E39" s="112" t="n"/>
      <c r="F39" s="112" t="n"/>
      <c r="G39" s="112" t="n"/>
    </row>
    <row r="40">
      <c r="C40" s="64" t="inlineStr">
        <is>
          <t>PRODUTO</t>
        </is>
      </c>
      <c r="D40" s="64" t="inlineStr">
        <is>
          <t>MAT PRIM (R$)</t>
        </is>
      </c>
      <c r="E40" s="64" t="inlineStr">
        <is>
          <t>CVV (%)</t>
        </is>
      </c>
      <c r="F40" s="64" t="inlineStr">
        <is>
          <t>CVP (%)</t>
        </is>
      </c>
      <c r="G40" s="64" t="inlineStr">
        <is>
          <t>LUCRO (%)</t>
        </is>
      </c>
    </row>
    <row r="41">
      <c r="C41" s="53" t="inlineStr">
        <is>
          <t>FACA DO CHEF 8"</t>
        </is>
      </c>
      <c r="D41" s="113" t="n">
        <v>48</v>
      </c>
      <c r="E41" s="113" t="n">
        <v>12</v>
      </c>
      <c r="F41" s="113" t="n">
        <v>6</v>
      </c>
      <c r="G41" s="113" t="n">
        <v>15</v>
      </c>
    </row>
    <row r="42">
      <c r="C42" s="53" t="inlineStr">
        <is>
          <t>FACA CAMPEIRA 10"</t>
        </is>
      </c>
      <c r="D42" s="113" t="n">
        <v>61.5</v>
      </c>
      <c r="E42" s="113" t="n">
        <v>12</v>
      </c>
      <c r="F42" s="113" t="n">
        <v>6</v>
      </c>
      <c r="G42" s="113" t="n">
        <v>15</v>
      </c>
    </row>
    <row r="45">
      <c r="C45" s="85" t="inlineStr">
        <is>
          <t>CUSTO MINUTO DAS SEÇÕES</t>
        </is>
      </c>
      <c r="E45" s="114" t="inlineStr">
        <is>
          <t>custo/min arredondado em 2 casas (regra das respostas)</t>
        </is>
      </c>
    </row>
    <row r="47">
      <c r="C47" s="115" t="inlineStr">
        <is>
          <t>FORJAMENTO</t>
        </is>
      </c>
      <c r="D47" s="116" t="n"/>
    </row>
    <row r="48">
      <c r="C48" s="67" t="inlineStr">
        <is>
          <t>TEMPO TRABALHADO (MIN)</t>
        </is>
      </c>
      <c r="D48" s="117">
        <f>D30*60</f>
        <v/>
      </c>
    </row>
    <row r="49">
      <c r="C49" s="67" t="inlineStr">
        <is>
          <t>NÚMERO DE FUNCIONÁRIOS</t>
        </is>
      </c>
      <c r="D49" s="117">
        <f>D25</f>
        <v/>
      </c>
    </row>
    <row r="50">
      <c r="C50" s="67" t="inlineStr">
        <is>
          <t>CUSTO TOTAL DA SEÇÃO</t>
        </is>
      </c>
      <c r="D50" s="118">
        <f>D18</f>
        <v/>
      </c>
    </row>
    <row r="51">
      <c r="C51" s="67" t="inlineStr">
        <is>
          <t>CUSTO MINUTO</t>
        </is>
      </c>
      <c r="D51" s="119">
        <f>ROUND(D50/(D48*D49),2)</f>
        <v/>
      </c>
    </row>
    <row r="53">
      <c r="C53" s="115" t="inlineStr">
        <is>
          <t>AFIAÇÃO</t>
        </is>
      </c>
      <c r="D53" s="116" t="n"/>
    </row>
    <row r="54">
      <c r="C54" s="67" t="inlineStr">
        <is>
          <t>TEMPO TRABALHADO (MIN)</t>
        </is>
      </c>
      <c r="D54" s="117">
        <f>E30*60</f>
        <v/>
      </c>
    </row>
    <row r="55">
      <c r="C55" s="67" t="inlineStr">
        <is>
          <t>NÚMERO DE FUNCIONÁRIOS</t>
        </is>
      </c>
      <c r="D55" s="117">
        <f>E25</f>
        <v/>
      </c>
    </row>
    <row r="56">
      <c r="C56" s="67" t="inlineStr">
        <is>
          <t>CUSTO TOTAL DA SEÇÃO</t>
        </is>
      </c>
      <c r="D56" s="118">
        <f>E18</f>
        <v/>
      </c>
    </row>
    <row r="57">
      <c r="C57" s="67" t="inlineStr">
        <is>
          <t>CUSTO MINUTO</t>
        </is>
      </c>
      <c r="D57" s="119">
        <f>ROUND(D56/(D54*D55),2)</f>
        <v/>
      </c>
    </row>
    <row r="60">
      <c r="C60" s="85" t="inlineStr">
        <is>
          <t>CUSTO RKW / CUSTO TOTAL / PREÇO DE VENDA</t>
        </is>
      </c>
    </row>
    <row r="62">
      <c r="C62" s="120" t="inlineStr">
        <is>
          <t>FACA DO CHEF 8"</t>
        </is>
      </c>
      <c r="D62" s="100" t="n"/>
      <c r="E62" s="100" t="n"/>
      <c r="F62" s="101" t="n"/>
    </row>
    <row r="63">
      <c r="C63" s="80" t="inlineStr">
        <is>
          <t>CUSTO SEÇÕES</t>
        </is>
      </c>
      <c r="D63" s="54" t="inlineStr">
        <is>
          <t>TEMPO PROCESSO</t>
        </is>
      </c>
      <c r="E63" s="54" t="inlineStr">
        <is>
          <t>CUSTO MINUTO</t>
        </is>
      </c>
      <c r="F63" s="54" t="inlineStr">
        <is>
          <t>CUSTO RKW</t>
        </is>
      </c>
    </row>
    <row r="64">
      <c r="C64" s="78" t="inlineStr">
        <is>
          <t>CUSTO FORJAMENTO</t>
        </is>
      </c>
      <c r="D64" s="121">
        <f>D35</f>
        <v/>
      </c>
      <c r="E64" s="122">
        <f>$D$51</f>
        <v/>
      </c>
      <c r="F64" s="123">
        <f>D64*E64</f>
        <v/>
      </c>
    </row>
    <row r="65">
      <c r="C65" s="78" t="inlineStr">
        <is>
          <t>CUSTO AFIAÇÃO</t>
        </is>
      </c>
      <c r="D65" s="121">
        <f>E35</f>
        <v/>
      </c>
      <c r="E65" s="122">
        <f>$D$57</f>
        <v/>
      </c>
      <c r="F65" s="123">
        <f>D65*E65</f>
        <v/>
      </c>
    </row>
    <row r="66">
      <c r="C66" s="71" t="inlineStr">
        <is>
          <t>CUSTO TOTAL RKW</t>
        </is>
      </c>
      <c r="D66" s="124">
        <f>SUM(F64:F65)</f>
        <v/>
      </c>
    </row>
    <row r="67">
      <c r="C67" s="71" t="inlineStr">
        <is>
          <t>CUSTO TOTAL</t>
        </is>
      </c>
      <c r="D67" s="124">
        <f>(D41+D66)/((100-(E41+F41))/100)</f>
        <v/>
      </c>
    </row>
    <row r="68">
      <c r="C68" s="71" t="inlineStr">
        <is>
          <t>PREÇO DE VENDAS</t>
        </is>
      </c>
      <c r="D68" s="124">
        <f>(D41+D66)/((100-(E41+F41+G41))/100)</f>
        <v/>
      </c>
    </row>
    <row r="70">
      <c r="C70" s="120" t="inlineStr">
        <is>
          <t>FACA CAMPEIRA 10"</t>
        </is>
      </c>
      <c r="D70" s="100" t="n"/>
      <c r="E70" s="100" t="n"/>
      <c r="F70" s="101" t="n"/>
    </row>
    <row r="71">
      <c r="C71" s="80" t="inlineStr">
        <is>
          <t>CUSTO SEÇÕES</t>
        </is>
      </c>
      <c r="D71" s="54" t="inlineStr">
        <is>
          <t>TEMPO PROCESSO</t>
        </is>
      </c>
      <c r="E71" s="54" t="inlineStr">
        <is>
          <t>CUSTO MINUTO</t>
        </is>
      </c>
      <c r="F71" s="54" t="inlineStr">
        <is>
          <t>CUSTO RKW</t>
        </is>
      </c>
    </row>
    <row r="72">
      <c r="C72" s="78" t="inlineStr">
        <is>
          <t>CUSTO FORJAMENTO</t>
        </is>
      </c>
      <c r="D72" s="121">
        <f>D36</f>
        <v/>
      </c>
      <c r="E72" s="122">
        <f>$D$51</f>
        <v/>
      </c>
      <c r="F72" s="123">
        <f>D72*E72</f>
        <v/>
      </c>
    </row>
    <row r="73">
      <c r="C73" s="78" t="inlineStr">
        <is>
          <t>CUSTO AFIAÇÃO</t>
        </is>
      </c>
      <c r="D73" s="121">
        <f>E36</f>
        <v/>
      </c>
      <c r="E73" s="122">
        <f>$D$57</f>
        <v/>
      </c>
      <c r="F73" s="123">
        <f>D73*E73</f>
        <v/>
      </c>
    </row>
    <row r="74">
      <c r="C74" s="71" t="inlineStr">
        <is>
          <t>CUSTO TOTAL RKW</t>
        </is>
      </c>
      <c r="D74" s="124">
        <f>SUM(F72:F73)</f>
        <v/>
      </c>
    </row>
    <row r="75">
      <c r="C75" s="71" t="inlineStr">
        <is>
          <t>CUSTO TOTAL</t>
        </is>
      </c>
      <c r="D75" s="124">
        <f>(D42+D74)/((100-(E42+F42))/100)</f>
        <v/>
      </c>
    </row>
    <row r="76">
      <c r="C76" s="71" t="inlineStr">
        <is>
          <t>PREÇO DE VENDAS</t>
        </is>
      </c>
      <c r="D76" s="124">
        <f>(D42+D74)/((100-(E42+F42+G42))/100)</f>
        <v/>
      </c>
    </row>
  </sheetData>
  <mergeCells count="11">
    <mergeCell ref="C2:E2"/>
    <mergeCell ref="C70:F70"/>
    <mergeCell ref="C33:E33"/>
    <mergeCell ref="C47:D47"/>
    <mergeCell ref="C23:E23"/>
    <mergeCell ref="C62:F62"/>
    <mergeCell ref="C45:D45"/>
    <mergeCell ref="H2:J2"/>
    <mergeCell ref="C53:D53"/>
    <mergeCell ref="C39:G39"/>
    <mergeCell ref="C60:F6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K9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8" customWidth="1" min="3" max="3"/>
    <col width="17" customWidth="1" min="4" max="4"/>
    <col width="17" customWidth="1" min="5" max="5"/>
    <col width="17" customWidth="1" min="6" max="6"/>
    <col width="17" customWidth="1" min="7" max="7"/>
    <col width="22" customWidth="1" min="9" max="9"/>
    <col width="16" customWidth="1" min="10" max="10"/>
    <col width="16" customWidth="1" min="11" max="11"/>
  </cols>
  <sheetData>
    <row r="1">
      <c r="B1" s="98" t="inlineStr">
        <is>
          <t>Exercício 2 – Fundição Ferro Forte S.A.</t>
        </is>
      </c>
    </row>
    <row r="2">
      <c r="C2" s="99" t="inlineStr">
        <is>
          <t>SEÇÕES</t>
        </is>
      </c>
      <c r="D2" s="100" t="n"/>
      <c r="E2" s="100" t="n"/>
      <c r="F2" s="101" t="n"/>
      <c r="I2" s="102" t="inlineStr">
        <is>
          <t>CUSTOS DO MÊS</t>
        </is>
      </c>
      <c r="J2" s="100" t="n"/>
      <c r="K2" s="101" t="n"/>
    </row>
    <row r="3">
      <c r="B3" s="18" t="inlineStr">
        <is>
          <t>CUSTOS/DIRECIONADORES</t>
        </is>
      </c>
      <c r="C3" s="19" t="inlineStr">
        <is>
          <t>ADMINISTRAÇÃO</t>
        </is>
      </c>
      <c r="D3" s="19" t="inlineStr">
        <is>
          <t>MOLDAGEM</t>
        </is>
      </c>
      <c r="E3" s="19" t="inlineStr">
        <is>
          <t>FUSÃO</t>
        </is>
      </c>
      <c r="F3" s="19" t="inlineStr">
        <is>
          <t>ACABAMENTO</t>
        </is>
      </c>
      <c r="G3" s="19" t="inlineStr">
        <is>
          <t>TOTAL</t>
        </is>
      </c>
      <c r="I3" s="52" t="inlineStr">
        <is>
          <t>CUSTO</t>
        </is>
      </c>
      <c r="J3" s="52" t="inlineStr">
        <is>
          <t>VALOR</t>
        </is>
      </c>
      <c r="K3" s="52" t="inlineStr">
        <is>
          <t>DIRECIONADOR</t>
        </is>
      </c>
    </row>
    <row r="4">
      <c r="B4" s="22" t="inlineStr">
        <is>
          <t>Nº FUNCIONÁRIOS</t>
        </is>
      </c>
      <c r="C4" s="103">
        <f>C25</f>
        <v/>
      </c>
      <c r="D4" s="103">
        <f>D25</f>
        <v/>
      </c>
      <c r="E4" s="103">
        <f>E25</f>
        <v/>
      </c>
      <c r="F4" s="103">
        <f>F25</f>
        <v/>
      </c>
      <c r="G4" s="23" t="n"/>
      <c r="I4" s="45" t="inlineStr">
        <is>
          <t>Salários Administração</t>
        </is>
      </c>
      <c r="J4" s="104" t="n">
        <v>22000</v>
      </c>
      <c r="K4" s="44" t="inlineStr">
        <is>
          <t>Direto</t>
        </is>
      </c>
    </row>
    <row r="5">
      <c r="B5" s="2" t="inlineStr">
        <is>
          <t>SALÁRIOS (DIRETO)</t>
        </is>
      </c>
      <c r="C5" s="5">
        <f>$J$4</f>
        <v/>
      </c>
      <c r="D5" s="5">
        <f>$J$5</f>
        <v/>
      </c>
      <c r="E5" s="5">
        <f>$J$6</f>
        <v/>
      </c>
      <c r="F5" s="5">
        <f>$J$7</f>
        <v/>
      </c>
      <c r="G5" s="5">
        <f>SUM(C5:F5)</f>
        <v/>
      </c>
      <c r="I5" s="45" t="inlineStr">
        <is>
          <t>Salários Moldagem</t>
        </is>
      </c>
      <c r="J5" s="104" t="n">
        <v>36000</v>
      </c>
      <c r="K5" s="44" t="inlineStr">
        <is>
          <t>Direto</t>
        </is>
      </c>
    </row>
    <row r="6">
      <c r="B6" s="1" t="inlineStr">
        <is>
          <t>POTÊNCIA INSTALADA (KW)</t>
        </is>
      </c>
      <c r="C6" s="105">
        <f>C27</f>
        <v/>
      </c>
      <c r="D6" s="105">
        <f>D27</f>
        <v/>
      </c>
      <c r="E6" s="105">
        <f>E27</f>
        <v/>
      </c>
      <c r="F6" s="105">
        <f>F27</f>
        <v/>
      </c>
      <c r="G6" s="105">
        <f>SUM(C6:F6)</f>
        <v/>
      </c>
      <c r="I6" s="45" t="inlineStr">
        <is>
          <t>Salários Fusão</t>
        </is>
      </c>
      <c r="J6" s="104" t="n">
        <v>48000</v>
      </c>
      <c r="K6" s="44" t="inlineStr">
        <is>
          <t>Direto</t>
        </is>
      </c>
    </row>
    <row r="7">
      <c r="B7" s="2" t="inlineStr">
        <is>
          <t>ENERGIA ELÉTRICA</t>
        </is>
      </c>
      <c r="C7" s="5">
        <f>$J$8*C6/$G$6</f>
        <v/>
      </c>
      <c r="D7" s="5">
        <f>$J$8*D6/$G$6</f>
        <v/>
      </c>
      <c r="E7" s="5">
        <f>$J$8*E6/$G$6</f>
        <v/>
      </c>
      <c r="F7" s="5">
        <f>$J$8*F6/$G$6</f>
        <v/>
      </c>
      <c r="G7" s="5">
        <f>SUM(C7:F7)</f>
        <v/>
      </c>
      <c r="I7" s="45" t="inlineStr">
        <is>
          <t>Salários Acabamento</t>
        </is>
      </c>
      <c r="J7" s="104" t="n">
        <v>27000</v>
      </c>
      <c r="K7" s="44" t="inlineStr">
        <is>
          <t>Direto</t>
        </is>
      </c>
    </row>
    <row r="8">
      <c r="B8" s="22" t="inlineStr">
        <is>
          <t>ÁREA OCUPADA (M²)</t>
        </is>
      </c>
      <c r="C8" s="103">
        <f>C26</f>
        <v/>
      </c>
      <c r="D8" s="103">
        <f>D26</f>
        <v/>
      </c>
      <c r="E8" s="103">
        <f>E26</f>
        <v/>
      </c>
      <c r="F8" s="103">
        <f>F26</f>
        <v/>
      </c>
      <c r="G8" s="103">
        <f>SUM(C8:F8)</f>
        <v/>
      </c>
      <c r="I8" s="45" t="inlineStr">
        <is>
          <t>Energia elétrica</t>
        </is>
      </c>
      <c r="J8" s="104" t="n">
        <v>38000</v>
      </c>
      <c r="K8" s="44" t="inlineStr">
        <is>
          <t>Potência Inst.</t>
        </is>
      </c>
    </row>
    <row r="9">
      <c r="B9" s="2" t="inlineStr">
        <is>
          <t>ALUGUEL</t>
        </is>
      </c>
      <c r="C9" s="5">
        <f>$J$9*C8/$G$8</f>
        <v/>
      </c>
      <c r="D9" s="5">
        <f>$J$9*D8/$G$8</f>
        <v/>
      </c>
      <c r="E9" s="5">
        <f>$J$9*E8/$G$8</f>
        <v/>
      </c>
      <c r="F9" s="5">
        <f>$J$9*F8/$G$8</f>
        <v/>
      </c>
      <c r="G9" s="5">
        <f>SUM(C9:F9)</f>
        <v/>
      </c>
      <c r="I9" s="45" t="inlineStr">
        <is>
          <t>Aluguel</t>
        </is>
      </c>
      <c r="J9" s="104" t="n">
        <v>18000</v>
      </c>
      <c r="K9" s="44" t="inlineStr">
        <is>
          <t>M²</t>
        </is>
      </c>
    </row>
    <row r="10">
      <c r="B10" s="1" t="inlineStr">
        <is>
          <t>ÁREA OCUPADA (M²)</t>
        </is>
      </c>
      <c r="C10" s="105">
        <f>C26</f>
        <v/>
      </c>
      <c r="D10" s="105">
        <f>D26</f>
        <v/>
      </c>
      <c r="E10" s="105">
        <f>E26</f>
        <v/>
      </c>
      <c r="F10" s="105">
        <f>F26</f>
        <v/>
      </c>
      <c r="G10" s="105">
        <f>SUM(C10:F10)</f>
        <v/>
      </c>
      <c r="I10" s="45" t="inlineStr">
        <is>
          <t>Seguro do imóvel</t>
        </is>
      </c>
      <c r="J10" s="104" t="n">
        <v>6000</v>
      </c>
      <c r="K10" s="44" t="inlineStr">
        <is>
          <t>M²</t>
        </is>
      </c>
    </row>
    <row r="11">
      <c r="B11" s="2" t="inlineStr">
        <is>
          <t>SEGURO DO IMÓVEL</t>
        </is>
      </c>
      <c r="C11" s="5">
        <f>$J$10*C10/$G$10</f>
        <v/>
      </c>
      <c r="D11" s="5">
        <f>$J$10*D10/$G$10</f>
        <v/>
      </c>
      <c r="E11" s="5">
        <f>$J$10*E10/$G$10</f>
        <v/>
      </c>
      <c r="F11" s="5">
        <f>$J$10*F10/$G$10</f>
        <v/>
      </c>
      <c r="G11" s="5">
        <f>SUM(C11:F11)</f>
        <v/>
      </c>
      <c r="I11" s="45" t="inlineStr">
        <is>
          <t>Material auxiliar</t>
        </is>
      </c>
      <c r="J11" s="104" t="n">
        <v>9000</v>
      </c>
      <c r="K11" s="44" t="inlineStr">
        <is>
          <t>Nº Requisições</t>
        </is>
      </c>
    </row>
    <row r="12">
      <c r="B12" s="22" t="inlineStr">
        <is>
          <t>Nº REQUISIÇÕES</t>
        </is>
      </c>
      <c r="C12" s="103">
        <f>C28</f>
        <v/>
      </c>
      <c r="D12" s="103">
        <f>D28</f>
        <v/>
      </c>
      <c r="E12" s="103">
        <f>E28</f>
        <v/>
      </c>
      <c r="F12" s="103">
        <f>F28</f>
        <v/>
      </c>
      <c r="G12" s="103">
        <f>SUM(C12:F12)</f>
        <v/>
      </c>
      <c r="I12" s="45" t="inlineStr">
        <is>
          <t>Manutenção de equipamentos</t>
        </is>
      </c>
      <c r="J12" s="104" t="n">
        <v>14000</v>
      </c>
      <c r="K12" s="44" t="inlineStr">
        <is>
          <t>Nº Ordens</t>
        </is>
      </c>
    </row>
    <row r="13">
      <c r="B13" s="2" t="inlineStr">
        <is>
          <t>MATERIAL AUXILIAR</t>
        </is>
      </c>
      <c r="C13" s="5">
        <f>$J$11*C12/$G$12</f>
        <v/>
      </c>
      <c r="D13" s="5">
        <f>$J$11*D12/$G$12</f>
        <v/>
      </c>
      <c r="E13" s="5">
        <f>$J$11*E12/$G$12</f>
        <v/>
      </c>
      <c r="F13" s="5">
        <f>$J$11*F12/$G$12</f>
        <v/>
      </c>
      <c r="G13" s="5">
        <f>SUM(C13:F13)</f>
        <v/>
      </c>
      <c r="I13" s="52" t="inlineStr">
        <is>
          <t>TOTAL</t>
        </is>
      </c>
      <c r="J13" s="106">
        <f>SUM(J4:J12)</f>
        <v/>
      </c>
      <c r="K13" s="52" t="n"/>
    </row>
    <row r="14">
      <c r="B14" s="1" t="inlineStr">
        <is>
          <t>Nº ORDENS DE MANUTENÇÃO</t>
        </is>
      </c>
      <c r="C14" s="105">
        <f>C29</f>
        <v/>
      </c>
      <c r="D14" s="105">
        <f>D29</f>
        <v/>
      </c>
      <c r="E14" s="105">
        <f>E29</f>
        <v/>
      </c>
      <c r="F14" s="105">
        <f>F29</f>
        <v/>
      </c>
      <c r="G14" s="105">
        <f>SUM(C14:F14)</f>
        <v/>
      </c>
    </row>
    <row r="15">
      <c r="B15" s="2" t="inlineStr">
        <is>
          <t>MANUTENÇÃO DE EQUIPAMENTOS</t>
        </is>
      </c>
      <c r="C15" s="5">
        <f>$J$12*C14/$G$14</f>
        <v/>
      </c>
      <c r="D15" s="5">
        <f>$J$12*D14/$G$14</f>
        <v/>
      </c>
      <c r="E15" s="5">
        <f>$J$12*E14/$G$14</f>
        <v/>
      </c>
      <c r="F15" s="5">
        <f>$J$12*F14/$G$14</f>
        <v/>
      </c>
      <c r="G15" s="5">
        <f>SUM(C15:F15)</f>
        <v/>
      </c>
    </row>
    <row r="16">
      <c r="B16" s="26" t="inlineStr">
        <is>
          <t>1º RATEIO  ∑</t>
        </is>
      </c>
      <c r="C16" s="31">
        <f>C5+C7+C9+C11+C13+C15</f>
        <v/>
      </c>
      <c r="D16" s="31">
        <f>D5+D7+D9+D11+D13+D15</f>
        <v/>
      </c>
      <c r="E16" s="31">
        <f>E5+E7+E9+E11+E13+E15</f>
        <v/>
      </c>
      <c r="F16" s="31">
        <f>F5+F7+F9+F11+F13+F15</f>
        <v/>
      </c>
      <c r="G16" s="31">
        <f>G5+G7+G9+G11+G13+G15</f>
        <v/>
      </c>
    </row>
    <row r="17">
      <c r="B17" s="27" t="inlineStr">
        <is>
          <t>2º RATEIO – ADMINISTRAÇÃO  ∑</t>
        </is>
      </c>
      <c r="C17" s="107">
        <f>-(C16)</f>
        <v/>
      </c>
      <c r="D17" s="107">
        <f>($C16)*$D$25/($D$25+$E$25+$F$25)</f>
        <v/>
      </c>
      <c r="E17" s="107">
        <f>($C16)*$E$25/($D$25+$E$25+$F$25)</f>
        <v/>
      </c>
      <c r="F17" s="107">
        <f>($C16)*$F$25/($D$25+$E$25+$F$25)</f>
        <v/>
      </c>
      <c r="G17" s="107">
        <f>SUM(C17:F17)</f>
        <v/>
      </c>
    </row>
    <row r="18">
      <c r="C18" s="17" t="inlineStr">
        <is>
          <t>∑ TOTAL</t>
        </is>
      </c>
      <c r="D18" s="108">
        <f>D16+D17</f>
        <v/>
      </c>
      <c r="E18" s="108">
        <f>E16+E17</f>
        <v/>
      </c>
      <c r="F18" s="108">
        <f>F16+F17</f>
        <v/>
      </c>
      <c r="G18" s="108">
        <f>G16+G17</f>
        <v/>
      </c>
    </row>
    <row r="22">
      <c r="B22" s="85" t="inlineStr">
        <is>
          <t>DIRECIONADORES DE RATEIO</t>
        </is>
      </c>
    </row>
    <row r="23">
      <c r="C23" s="102" t="inlineStr">
        <is>
          <t>SEÇÕES</t>
        </is>
      </c>
      <c r="D23" s="100" t="n"/>
      <c r="E23" s="100" t="n"/>
      <c r="F23" s="101" t="n"/>
    </row>
    <row r="24">
      <c r="B24" s="52" t="inlineStr">
        <is>
          <t>DIRECIONADORES</t>
        </is>
      </c>
      <c r="C24" s="48" t="inlineStr">
        <is>
          <t>ADMINISTRAÇÃO</t>
        </is>
      </c>
      <c r="D24" s="48" t="inlineStr">
        <is>
          <t>MOLDAGEM</t>
        </is>
      </c>
      <c r="E24" s="48" t="inlineStr">
        <is>
          <t>FUSÃO</t>
        </is>
      </c>
      <c r="F24" s="48" t="inlineStr">
        <is>
          <t>ACABAMENTO</t>
        </is>
      </c>
    </row>
    <row r="25">
      <c r="B25" s="45" t="inlineStr">
        <is>
          <t>Nº FUNCIONÁRIOS</t>
        </is>
      </c>
      <c r="C25" s="109" t="n">
        <v>8</v>
      </c>
      <c r="D25" s="109" t="n">
        <v>9</v>
      </c>
      <c r="E25" s="109" t="n">
        <v>10</v>
      </c>
      <c r="F25" s="109" t="n">
        <v>7</v>
      </c>
    </row>
    <row r="26">
      <c r="B26" s="45" t="inlineStr">
        <is>
          <t>ÁREA OCUPADA (M²)</t>
        </is>
      </c>
      <c r="C26" s="109" t="n">
        <v>200</v>
      </c>
      <c r="D26" s="109" t="n">
        <v>600</v>
      </c>
      <c r="E26" s="109" t="n">
        <v>800</v>
      </c>
      <c r="F26" s="109" t="n">
        <v>400</v>
      </c>
    </row>
    <row r="27">
      <c r="B27" s="45" t="inlineStr">
        <is>
          <t>POTÊNCIA INSTALADA (KW)</t>
        </is>
      </c>
      <c r="C27" s="109" t="n">
        <v>25</v>
      </c>
      <c r="D27" s="109" t="n">
        <v>120</v>
      </c>
      <c r="E27" s="109" t="n">
        <v>600</v>
      </c>
      <c r="F27" s="109" t="n">
        <v>80</v>
      </c>
    </row>
    <row r="28">
      <c r="B28" s="45" t="inlineStr">
        <is>
          <t>Nº REQUISIÇÕES</t>
        </is>
      </c>
      <c r="C28" s="109" t="n">
        <v>6</v>
      </c>
      <c r="D28" s="109" t="n">
        <v>40</v>
      </c>
      <c r="E28" s="109" t="n">
        <v>25</v>
      </c>
      <c r="F28" s="109" t="n">
        <v>29</v>
      </c>
    </row>
    <row r="29">
      <c r="B29" s="45" t="inlineStr">
        <is>
          <t>Nº ORDENS DE MANUTENÇÃO</t>
        </is>
      </c>
      <c r="C29" s="109" t="n">
        <v>0</v>
      </c>
      <c r="D29" s="109" t="n">
        <v>10</v>
      </c>
      <c r="E29" s="109" t="n">
        <v>22</v>
      </c>
      <c r="F29" s="109" t="n">
        <v>8</v>
      </c>
    </row>
    <row r="30">
      <c r="B30" s="45" t="inlineStr">
        <is>
          <t>HORAS TRABALHADAS/MÊS (POR FUNC.)</t>
        </is>
      </c>
      <c r="C30" s="109" t="n"/>
      <c r="D30" s="109" t="n">
        <v>176</v>
      </c>
      <c r="E30" s="109" t="n">
        <v>176</v>
      </c>
      <c r="F30" s="109" t="n">
        <v>176</v>
      </c>
    </row>
    <row r="33">
      <c r="C33" s="110" t="inlineStr">
        <is>
          <t>TEMPO DE PROCESSO DOS PRODUTOS (MIN/UN)</t>
        </is>
      </c>
      <c r="D33" s="100" t="n"/>
      <c r="E33" s="100" t="n"/>
      <c r="F33" s="101" t="n"/>
    </row>
    <row r="34">
      <c r="C34" s="60" t="inlineStr">
        <is>
          <t>PRODUTO  / SEÇÃO</t>
        </is>
      </c>
      <c r="D34" s="55" t="inlineStr">
        <is>
          <t>MOLDAGEM</t>
        </is>
      </c>
      <c r="E34" s="55" t="inlineStr">
        <is>
          <t>FUSÃO</t>
        </is>
      </c>
      <c r="F34" s="55" t="inlineStr">
        <is>
          <t>ACABAMENTO</t>
        </is>
      </c>
    </row>
    <row r="35">
      <c r="C35" s="44" t="inlineStr">
        <is>
          <t>PANELA 3 L</t>
        </is>
      </c>
      <c r="D35" s="111" t="n">
        <v>14</v>
      </c>
      <c r="E35" s="111" t="n">
        <v>9</v>
      </c>
      <c r="F35" s="111" t="n">
        <v>12</v>
      </c>
    </row>
    <row r="36">
      <c r="C36" s="44" t="inlineStr">
        <is>
          <t>FRIGIDEIRA 26 CM</t>
        </is>
      </c>
      <c r="D36" s="111" t="n">
        <v>10</v>
      </c>
      <c r="E36" s="111" t="n">
        <v>6</v>
      </c>
      <c r="F36" s="111" t="n">
        <v>15</v>
      </c>
    </row>
    <row r="37">
      <c r="C37" s="44" t="inlineStr">
        <is>
          <t>CHAPA BIFETEIRA</t>
        </is>
      </c>
      <c r="D37" s="111" t="n">
        <v>18</v>
      </c>
      <c r="E37" s="111" t="n">
        <v>12</v>
      </c>
      <c r="F37" s="111" t="n">
        <v>8</v>
      </c>
    </row>
    <row r="40">
      <c r="C40" s="97" t="inlineStr">
        <is>
          <t>MATÉRIA-PRIMA / CUSTOS VARIÁVEIS (%) / MARGEM DE LUCRO (%)</t>
        </is>
      </c>
      <c r="D40" s="112" t="n"/>
      <c r="E40" s="112" t="n"/>
      <c r="F40" s="112" t="n"/>
      <c r="G40" s="112" t="n"/>
    </row>
    <row r="41">
      <c r="C41" s="64" t="inlineStr">
        <is>
          <t>PRODUTO</t>
        </is>
      </c>
      <c r="D41" s="64" t="inlineStr">
        <is>
          <t>MAT PRIM (R$)</t>
        </is>
      </c>
      <c r="E41" s="64" t="inlineStr">
        <is>
          <t>CVV (%)</t>
        </is>
      </c>
      <c r="F41" s="64" t="inlineStr">
        <is>
          <t>CVP (%)</t>
        </is>
      </c>
      <c r="G41" s="64" t="inlineStr">
        <is>
          <t>LUCRO (%)</t>
        </is>
      </c>
    </row>
    <row r="42">
      <c r="C42" s="53" t="inlineStr">
        <is>
          <t>PANELA 3 L</t>
        </is>
      </c>
      <c r="D42" s="113" t="n">
        <v>38</v>
      </c>
      <c r="E42" s="113" t="n">
        <v>14</v>
      </c>
      <c r="F42" s="113" t="n">
        <v>5</v>
      </c>
      <c r="G42" s="113" t="n">
        <v>12</v>
      </c>
    </row>
    <row r="43">
      <c r="C43" s="53" t="inlineStr">
        <is>
          <t>FRIGIDEIRA 26 CM</t>
        </is>
      </c>
      <c r="D43" s="113" t="n">
        <v>27.5</v>
      </c>
      <c r="E43" s="113" t="n">
        <v>14</v>
      </c>
      <c r="F43" s="113" t="n">
        <v>5</v>
      </c>
      <c r="G43" s="113" t="n">
        <v>12</v>
      </c>
    </row>
    <row r="44">
      <c r="C44" s="53" t="inlineStr">
        <is>
          <t>CHAPA BIFETEIRA</t>
        </is>
      </c>
      <c r="D44" s="113" t="n">
        <v>52</v>
      </c>
      <c r="E44" s="113" t="n">
        <v>14</v>
      </c>
      <c r="F44" s="113" t="n">
        <v>5</v>
      </c>
      <c r="G44" s="113" t="n">
        <v>12</v>
      </c>
    </row>
    <row r="47">
      <c r="C47" s="85" t="inlineStr">
        <is>
          <t>CUSTO MINUTO DAS SEÇÕES</t>
        </is>
      </c>
      <c r="E47" s="114" t="inlineStr">
        <is>
          <t>custo/min arredondado em 2 casas (regra das respostas)</t>
        </is>
      </c>
    </row>
    <row r="49">
      <c r="C49" s="115" t="inlineStr">
        <is>
          <t>MOLDAGEM</t>
        </is>
      </c>
      <c r="D49" s="116" t="n"/>
    </row>
    <row r="50">
      <c r="C50" s="67" t="inlineStr">
        <is>
          <t>TEMPO TRABALHADO (MIN)</t>
        </is>
      </c>
      <c r="D50" s="117">
        <f>D30*60</f>
        <v/>
      </c>
    </row>
    <row r="51">
      <c r="C51" s="67" t="inlineStr">
        <is>
          <t>NÚMERO DE FUNCIONÁRIOS</t>
        </is>
      </c>
      <c r="D51" s="117">
        <f>D25</f>
        <v/>
      </c>
    </row>
    <row r="52">
      <c r="C52" s="67" t="inlineStr">
        <is>
          <t>CUSTO TOTAL DA SEÇÃO</t>
        </is>
      </c>
      <c r="D52" s="118">
        <f>D18</f>
        <v/>
      </c>
    </row>
    <row r="53">
      <c r="C53" s="67" t="inlineStr">
        <is>
          <t>CUSTO MINUTO</t>
        </is>
      </c>
      <c r="D53" s="119">
        <f>ROUND(D52/(D50*D51),2)</f>
        <v/>
      </c>
    </row>
    <row r="55">
      <c r="C55" s="115" t="inlineStr">
        <is>
          <t>FUSÃO</t>
        </is>
      </c>
      <c r="D55" s="116" t="n"/>
    </row>
    <row r="56">
      <c r="C56" s="67" t="inlineStr">
        <is>
          <t>TEMPO TRABALHADO (MIN)</t>
        </is>
      </c>
      <c r="D56" s="117">
        <f>E30*60</f>
        <v/>
      </c>
    </row>
    <row r="57">
      <c r="C57" s="67" t="inlineStr">
        <is>
          <t>NÚMERO DE FUNCIONÁRIOS</t>
        </is>
      </c>
      <c r="D57" s="117">
        <f>E25</f>
        <v/>
      </c>
    </row>
    <row r="58">
      <c r="C58" s="67" t="inlineStr">
        <is>
          <t>CUSTO TOTAL DA SEÇÃO</t>
        </is>
      </c>
      <c r="D58" s="118">
        <f>E18</f>
        <v/>
      </c>
    </row>
    <row r="59">
      <c r="C59" s="67" t="inlineStr">
        <is>
          <t>CUSTO MINUTO</t>
        </is>
      </c>
      <c r="D59" s="119">
        <f>ROUND(D58/(D56*D57),2)</f>
        <v/>
      </c>
    </row>
    <row r="61">
      <c r="C61" s="115" t="inlineStr">
        <is>
          <t>ACABAMENTO</t>
        </is>
      </c>
      <c r="D61" s="116" t="n"/>
    </row>
    <row r="62">
      <c r="C62" s="67" t="inlineStr">
        <is>
          <t>TEMPO TRABALHADO (MIN)</t>
        </is>
      </c>
      <c r="D62" s="117">
        <f>F30*60</f>
        <v/>
      </c>
    </row>
    <row r="63">
      <c r="C63" s="67" t="inlineStr">
        <is>
          <t>NÚMERO DE FUNCIONÁRIOS</t>
        </is>
      </c>
      <c r="D63" s="117">
        <f>F25</f>
        <v/>
      </c>
    </row>
    <row r="64">
      <c r="C64" s="67" t="inlineStr">
        <is>
          <t>CUSTO TOTAL DA SEÇÃO</t>
        </is>
      </c>
      <c r="D64" s="118">
        <f>F18</f>
        <v/>
      </c>
    </row>
    <row r="65">
      <c r="C65" s="67" t="inlineStr">
        <is>
          <t>CUSTO MINUTO</t>
        </is>
      </c>
      <c r="D65" s="119">
        <f>ROUND(D64/(D62*D63),2)</f>
        <v/>
      </c>
    </row>
    <row r="68">
      <c r="C68" s="85" t="inlineStr">
        <is>
          <t>CUSTO RKW / CUSTO TOTAL / PREÇO DE VENDA</t>
        </is>
      </c>
    </row>
    <row r="70">
      <c r="C70" s="120" t="inlineStr">
        <is>
          <t>PANELA 3 L</t>
        </is>
      </c>
      <c r="D70" s="100" t="n"/>
      <c r="E70" s="100" t="n"/>
      <c r="F70" s="101" t="n"/>
    </row>
    <row r="71">
      <c r="C71" s="80" t="inlineStr">
        <is>
          <t>CUSTO SEÇÕES</t>
        </is>
      </c>
      <c r="D71" s="54" t="inlineStr">
        <is>
          <t>TEMPO PROCESSO</t>
        </is>
      </c>
      <c r="E71" s="54" t="inlineStr">
        <is>
          <t>CUSTO MINUTO</t>
        </is>
      </c>
      <c r="F71" s="54" t="inlineStr">
        <is>
          <t>CUSTO RKW</t>
        </is>
      </c>
    </row>
    <row r="72">
      <c r="C72" s="78" t="inlineStr">
        <is>
          <t>CUSTO MOLDAGEM</t>
        </is>
      </c>
      <c r="D72" s="121">
        <f>D35</f>
        <v/>
      </c>
      <c r="E72" s="122">
        <f>$D$53</f>
        <v/>
      </c>
      <c r="F72" s="123">
        <f>D72*E72</f>
        <v/>
      </c>
    </row>
    <row r="73">
      <c r="C73" s="78" t="inlineStr">
        <is>
          <t>CUSTO FUSÃO</t>
        </is>
      </c>
      <c r="D73" s="121">
        <f>E35</f>
        <v/>
      </c>
      <c r="E73" s="122">
        <f>$D$59</f>
        <v/>
      </c>
      <c r="F73" s="123">
        <f>D73*E73</f>
        <v/>
      </c>
    </row>
    <row r="74">
      <c r="C74" s="78" t="inlineStr">
        <is>
          <t>CUSTO ACABAMENTO</t>
        </is>
      </c>
      <c r="D74" s="121">
        <f>F35</f>
        <v/>
      </c>
      <c r="E74" s="122">
        <f>$D$65</f>
        <v/>
      </c>
      <c r="F74" s="123">
        <f>D74*E74</f>
        <v/>
      </c>
    </row>
    <row r="75">
      <c r="C75" s="71" t="inlineStr">
        <is>
          <t>CUSTO TOTAL RKW</t>
        </is>
      </c>
      <c r="D75" s="124">
        <f>SUM(F72:F74)</f>
        <v/>
      </c>
    </row>
    <row r="76">
      <c r="C76" s="71" t="inlineStr">
        <is>
          <t>CUSTO TOTAL</t>
        </is>
      </c>
      <c r="D76" s="124">
        <f>(D42+D75)/((100-(E42+F42))/100)</f>
        <v/>
      </c>
    </row>
    <row r="77">
      <c r="C77" s="71" t="inlineStr">
        <is>
          <t>PREÇO DE VENDAS</t>
        </is>
      </c>
      <c r="D77" s="124">
        <f>(D42+D75)/((100-(E42+F42+G42))/100)</f>
        <v/>
      </c>
    </row>
    <row r="79">
      <c r="C79" s="120" t="inlineStr">
        <is>
          <t>FRIGIDEIRA 26 CM</t>
        </is>
      </c>
      <c r="D79" s="100" t="n"/>
      <c r="E79" s="100" t="n"/>
      <c r="F79" s="101" t="n"/>
    </row>
    <row r="80">
      <c r="C80" s="80" t="inlineStr">
        <is>
          <t>CUSTO SEÇÕES</t>
        </is>
      </c>
      <c r="D80" s="54" t="inlineStr">
        <is>
          <t>TEMPO PROCESSO</t>
        </is>
      </c>
      <c r="E80" s="54" t="inlineStr">
        <is>
          <t>CUSTO MINUTO</t>
        </is>
      </c>
      <c r="F80" s="54" t="inlineStr">
        <is>
          <t>CUSTO RKW</t>
        </is>
      </c>
    </row>
    <row r="81">
      <c r="C81" s="78" t="inlineStr">
        <is>
          <t>CUSTO MOLDAGEM</t>
        </is>
      </c>
      <c r="D81" s="121">
        <f>D36</f>
        <v/>
      </c>
      <c r="E81" s="122">
        <f>$D$53</f>
        <v/>
      </c>
      <c r="F81" s="123">
        <f>D81*E81</f>
        <v/>
      </c>
    </row>
    <row r="82">
      <c r="C82" s="78" t="inlineStr">
        <is>
          <t>CUSTO FUSÃO</t>
        </is>
      </c>
      <c r="D82" s="121">
        <f>E36</f>
        <v/>
      </c>
      <c r="E82" s="122">
        <f>$D$59</f>
        <v/>
      </c>
      <c r="F82" s="123">
        <f>D82*E82</f>
        <v/>
      </c>
    </row>
    <row r="83">
      <c r="C83" s="78" t="inlineStr">
        <is>
          <t>CUSTO ACABAMENTO</t>
        </is>
      </c>
      <c r="D83" s="121">
        <f>F36</f>
        <v/>
      </c>
      <c r="E83" s="122">
        <f>$D$65</f>
        <v/>
      </c>
      <c r="F83" s="123">
        <f>D83*E83</f>
        <v/>
      </c>
    </row>
    <row r="84">
      <c r="C84" s="71" t="inlineStr">
        <is>
          <t>CUSTO TOTAL RKW</t>
        </is>
      </c>
      <c r="D84" s="124">
        <f>SUM(F81:F83)</f>
        <v/>
      </c>
    </row>
    <row r="85">
      <c r="C85" s="71" t="inlineStr">
        <is>
          <t>CUSTO TOTAL</t>
        </is>
      </c>
      <c r="D85" s="124">
        <f>(D43+D84)/((100-(E43+F43))/100)</f>
        <v/>
      </c>
    </row>
    <row r="86">
      <c r="C86" s="71" t="inlineStr">
        <is>
          <t>PREÇO DE VENDAS</t>
        </is>
      </c>
      <c r="D86" s="124">
        <f>(D43+D84)/((100-(E43+F43+G43))/100)</f>
        <v/>
      </c>
    </row>
    <row r="88">
      <c r="C88" s="120" t="inlineStr">
        <is>
          <t>CHAPA BIFETEIRA</t>
        </is>
      </c>
      <c r="D88" s="100" t="n"/>
      <c r="E88" s="100" t="n"/>
      <c r="F88" s="101" t="n"/>
    </row>
    <row r="89">
      <c r="C89" s="80" t="inlineStr">
        <is>
          <t>CUSTO SEÇÕES</t>
        </is>
      </c>
      <c r="D89" s="54" t="inlineStr">
        <is>
          <t>TEMPO PROCESSO</t>
        </is>
      </c>
      <c r="E89" s="54" t="inlineStr">
        <is>
          <t>CUSTO MINUTO</t>
        </is>
      </c>
      <c r="F89" s="54" t="inlineStr">
        <is>
          <t>CUSTO RKW</t>
        </is>
      </c>
    </row>
    <row r="90">
      <c r="C90" s="78" t="inlineStr">
        <is>
          <t>CUSTO MOLDAGEM</t>
        </is>
      </c>
      <c r="D90" s="121">
        <f>D37</f>
        <v/>
      </c>
      <c r="E90" s="122">
        <f>$D$53</f>
        <v/>
      </c>
      <c r="F90" s="123">
        <f>D90*E90</f>
        <v/>
      </c>
    </row>
    <row r="91">
      <c r="C91" s="78" t="inlineStr">
        <is>
          <t>CUSTO FUSÃO</t>
        </is>
      </c>
      <c r="D91" s="121">
        <f>E37</f>
        <v/>
      </c>
      <c r="E91" s="122">
        <f>$D$59</f>
        <v/>
      </c>
      <c r="F91" s="123">
        <f>D91*E91</f>
        <v/>
      </c>
    </row>
    <row r="92">
      <c r="C92" s="78" t="inlineStr">
        <is>
          <t>CUSTO ACABAMENTO</t>
        </is>
      </c>
      <c r="D92" s="121">
        <f>F37</f>
        <v/>
      </c>
      <c r="E92" s="122">
        <f>$D$65</f>
        <v/>
      </c>
      <c r="F92" s="123">
        <f>D92*E92</f>
        <v/>
      </c>
    </row>
    <row r="93">
      <c r="C93" s="71" t="inlineStr">
        <is>
          <t>CUSTO TOTAL RKW</t>
        </is>
      </c>
      <c r="D93" s="124">
        <f>SUM(F90:F92)</f>
        <v/>
      </c>
    </row>
    <row r="94">
      <c r="C94" s="71" t="inlineStr">
        <is>
          <t>CUSTO TOTAL</t>
        </is>
      </c>
      <c r="D94" s="124">
        <f>(D44+D93)/((100-(E44+F44))/100)</f>
        <v/>
      </c>
    </row>
    <row r="95">
      <c r="C95" s="71" t="inlineStr">
        <is>
          <t>PREÇO DE VENDAS</t>
        </is>
      </c>
      <c r="D95" s="124">
        <f>(D44+D93)/((100-(E44+F44+G44))/100)</f>
        <v/>
      </c>
    </row>
  </sheetData>
  <mergeCells count="13">
    <mergeCell ref="C70:F70"/>
    <mergeCell ref="I2:K2"/>
    <mergeCell ref="C23:F23"/>
    <mergeCell ref="C47:D47"/>
    <mergeCell ref="C79:F79"/>
    <mergeCell ref="C88:F88"/>
    <mergeCell ref="C55:D55"/>
    <mergeCell ref="C68:F68"/>
    <mergeCell ref="C61:D61"/>
    <mergeCell ref="C33:F33"/>
    <mergeCell ref="C2:F2"/>
    <mergeCell ref="C40:G40"/>
    <mergeCell ref="C49:D49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K9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8" customWidth="1" min="3" max="3"/>
    <col width="17" customWidth="1" min="4" max="4"/>
    <col width="17" customWidth="1" min="5" max="5"/>
    <col width="17" customWidth="1" min="6" max="6"/>
    <col width="17" customWidth="1" min="7" max="7"/>
    <col width="22" customWidth="1" min="9" max="9"/>
    <col width="16" customWidth="1" min="10" max="10"/>
    <col width="16" customWidth="1" min="11" max="11"/>
  </cols>
  <sheetData>
    <row r="1">
      <c r="B1" s="98" t="inlineStr">
        <is>
          <t>Exercício 3 – Marcenaria Industrial Serra Azul Ltda.</t>
        </is>
      </c>
    </row>
    <row r="2">
      <c r="C2" s="99" t="inlineStr">
        <is>
          <t>SEÇÕES</t>
        </is>
      </c>
      <c r="D2" s="100" t="n"/>
      <c r="E2" s="100" t="n"/>
      <c r="F2" s="101" t="n"/>
      <c r="I2" s="102" t="inlineStr">
        <is>
          <t>CUSTOS DO MÊS</t>
        </is>
      </c>
      <c r="J2" s="100" t="n"/>
      <c r="K2" s="101" t="n"/>
    </row>
    <row r="3">
      <c r="B3" s="18" t="inlineStr">
        <is>
          <t>CUSTOS/DIRECIONADORES</t>
        </is>
      </c>
      <c r="C3" s="19" t="inlineStr">
        <is>
          <t>ADMINISTRAÇÃO</t>
        </is>
      </c>
      <c r="D3" s="19" t="inlineStr">
        <is>
          <t>CORTE CNC</t>
        </is>
      </c>
      <c r="E3" s="19" t="inlineStr">
        <is>
          <t>MONTAGEM</t>
        </is>
      </c>
      <c r="F3" s="19" t="inlineStr">
        <is>
          <t>PINTURA</t>
        </is>
      </c>
      <c r="G3" s="19" t="inlineStr">
        <is>
          <t>TOTAL</t>
        </is>
      </c>
      <c r="I3" s="52" t="inlineStr">
        <is>
          <t>CUSTO</t>
        </is>
      </c>
      <c r="J3" s="52" t="inlineStr">
        <is>
          <t>VALOR</t>
        </is>
      </c>
      <c r="K3" s="52" t="inlineStr">
        <is>
          <t>DIRECIONADOR</t>
        </is>
      </c>
    </row>
    <row r="4">
      <c r="B4" s="22" t="inlineStr">
        <is>
          <t>Nº FUNCIONÁRIOS</t>
        </is>
      </c>
      <c r="C4" s="103">
        <f>C25</f>
        <v/>
      </c>
      <c r="D4" s="103">
        <f>D25</f>
        <v/>
      </c>
      <c r="E4" s="103">
        <f>E25</f>
        <v/>
      </c>
      <c r="F4" s="103">
        <f>F25</f>
        <v/>
      </c>
      <c r="G4" s="23" t="n"/>
      <c r="I4" s="45" t="inlineStr">
        <is>
          <t>Salários Administração</t>
        </is>
      </c>
      <c r="J4" s="104" t="n">
        <v>26000</v>
      </c>
      <c r="K4" s="44" t="inlineStr">
        <is>
          <t>Direto</t>
        </is>
      </c>
    </row>
    <row r="5">
      <c r="B5" s="2" t="inlineStr">
        <is>
          <t>SALÁRIOS (DIRETO)</t>
        </is>
      </c>
      <c r="C5" s="5">
        <f>$J$4</f>
        <v/>
      </c>
      <c r="D5" s="5">
        <f>$J$5</f>
        <v/>
      </c>
      <c r="E5" s="5">
        <f>$J$6</f>
        <v/>
      </c>
      <c r="F5" s="5">
        <f>$J$7</f>
        <v/>
      </c>
      <c r="G5" s="5">
        <f>SUM(C5:F5)</f>
        <v/>
      </c>
      <c r="I5" s="45" t="inlineStr">
        <is>
          <t>Salários Corte CNC</t>
        </is>
      </c>
      <c r="J5" s="104" t="n">
        <v>34000</v>
      </c>
      <c r="K5" s="44" t="inlineStr">
        <is>
          <t>Direto</t>
        </is>
      </c>
    </row>
    <row r="6">
      <c r="B6" s="1" t="inlineStr">
        <is>
          <t>ÁREA OCUPADA (M²)</t>
        </is>
      </c>
      <c r="C6" s="105">
        <f>C26</f>
        <v/>
      </c>
      <c r="D6" s="105">
        <f>D26</f>
        <v/>
      </c>
      <c r="E6" s="105">
        <f>E26</f>
        <v/>
      </c>
      <c r="F6" s="105">
        <f>F26</f>
        <v/>
      </c>
      <c r="G6" s="105">
        <f>SUM(C6:F6)</f>
        <v/>
      </c>
      <c r="I6" s="45" t="inlineStr">
        <is>
          <t>Salários Montagem</t>
        </is>
      </c>
      <c r="J6" s="104" t="n">
        <v>52000</v>
      </c>
      <c r="K6" s="44" t="inlineStr">
        <is>
          <t>Direto</t>
        </is>
      </c>
    </row>
    <row r="7">
      <c r="B7" s="2" t="inlineStr">
        <is>
          <t>ALUGUEL</t>
        </is>
      </c>
      <c r="C7" s="5">
        <f>$J$8*C6/$G$6</f>
        <v/>
      </c>
      <c r="D7" s="5">
        <f>$J$8*D6/$G$6</f>
        <v/>
      </c>
      <c r="E7" s="5">
        <f>$J$8*E6/$G$6</f>
        <v/>
      </c>
      <c r="F7" s="5">
        <f>$J$8*F6/$G$6</f>
        <v/>
      </c>
      <c r="G7" s="5">
        <f>SUM(C7:F7)</f>
        <v/>
      </c>
      <c r="I7" s="45" t="inlineStr">
        <is>
          <t>Salários Pintura</t>
        </is>
      </c>
      <c r="J7" s="104" t="n">
        <v>31000</v>
      </c>
      <c r="K7" s="44" t="inlineStr">
        <is>
          <t>Direto</t>
        </is>
      </c>
    </row>
    <row r="8">
      <c r="B8" s="22" t="inlineStr">
        <is>
          <t>ÁREA OCUPADA (M²)</t>
        </is>
      </c>
      <c r="C8" s="103">
        <f>C26</f>
        <v/>
      </c>
      <c r="D8" s="103">
        <f>D26</f>
        <v/>
      </c>
      <c r="E8" s="103">
        <f>E26</f>
        <v/>
      </c>
      <c r="F8" s="103">
        <f>F26</f>
        <v/>
      </c>
      <c r="G8" s="103">
        <f>SUM(C8:F8)</f>
        <v/>
      </c>
      <c r="I8" s="45" t="inlineStr">
        <is>
          <t>Aluguel</t>
        </is>
      </c>
      <c r="J8" s="104" t="n">
        <v>24000</v>
      </c>
      <c r="K8" s="44" t="inlineStr">
        <is>
          <t>M²</t>
        </is>
      </c>
    </row>
    <row r="9">
      <c r="B9" s="2" t="inlineStr">
        <is>
          <t>SEGURO DO IMÓVEL</t>
        </is>
      </c>
      <c r="C9" s="5">
        <f>$J$9*C8/$G$8</f>
        <v/>
      </c>
      <c r="D9" s="5">
        <f>$J$9*D8/$G$8</f>
        <v/>
      </c>
      <c r="E9" s="5">
        <f>$J$9*E8/$G$8</f>
        <v/>
      </c>
      <c r="F9" s="5">
        <f>$J$9*F8/$G$8</f>
        <v/>
      </c>
      <c r="G9" s="5">
        <f>SUM(C9:F9)</f>
        <v/>
      </c>
      <c r="I9" s="45" t="inlineStr">
        <is>
          <t>Seguro do imóvel</t>
        </is>
      </c>
      <c r="J9" s="104" t="n">
        <v>7500</v>
      </c>
      <c r="K9" s="44" t="inlineStr">
        <is>
          <t>M²</t>
        </is>
      </c>
    </row>
    <row r="10">
      <c r="B10" s="1" t="inlineStr">
        <is>
          <t>POTÊNCIA INSTALADA (KW)</t>
        </is>
      </c>
      <c r="C10" s="105">
        <f>C27</f>
        <v/>
      </c>
      <c r="D10" s="105">
        <f>D27</f>
        <v/>
      </c>
      <c r="E10" s="105">
        <f>E27</f>
        <v/>
      </c>
      <c r="F10" s="105">
        <f>F27</f>
        <v/>
      </c>
      <c r="G10" s="105">
        <f>SUM(C10:F10)</f>
        <v/>
      </c>
      <c r="I10" s="45" t="inlineStr">
        <is>
          <t>Energia elétrica</t>
        </is>
      </c>
      <c r="J10" s="104" t="n">
        <v>21000</v>
      </c>
      <c r="K10" s="44" t="inlineStr">
        <is>
          <t>Potência Inst.</t>
        </is>
      </c>
    </row>
    <row r="11">
      <c r="B11" s="2" t="inlineStr">
        <is>
          <t>ENERGIA ELÉTRICA</t>
        </is>
      </c>
      <c r="C11" s="5">
        <f>$J$10*C10/$G$10</f>
        <v/>
      </c>
      <c r="D11" s="5">
        <f>$J$10*D10/$G$10</f>
        <v/>
      </c>
      <c r="E11" s="5">
        <f>$J$10*E10/$G$10</f>
        <v/>
      </c>
      <c r="F11" s="5">
        <f>$J$10*F10/$G$10</f>
        <v/>
      </c>
      <c r="G11" s="5">
        <f>SUM(C11:F11)</f>
        <v/>
      </c>
      <c r="I11" s="45" t="inlineStr">
        <is>
          <t>Material auxiliar</t>
        </is>
      </c>
      <c r="J11" s="104" t="n">
        <v>12400</v>
      </c>
      <c r="K11" s="44" t="inlineStr">
        <is>
          <t>Nº Requisições</t>
        </is>
      </c>
    </row>
    <row r="12">
      <c r="B12" s="22" t="inlineStr">
        <is>
          <t>Nº REQUISIÇÕES</t>
        </is>
      </c>
      <c r="C12" s="103">
        <f>C28</f>
        <v/>
      </c>
      <c r="D12" s="103">
        <f>D28</f>
        <v/>
      </c>
      <c r="E12" s="103">
        <f>E28</f>
        <v/>
      </c>
      <c r="F12" s="103">
        <f>F28</f>
        <v/>
      </c>
      <c r="G12" s="103">
        <f>SUM(C12:F12)</f>
        <v/>
      </c>
      <c r="I12" s="45" t="inlineStr">
        <is>
          <t>Manutenção de equipamentos</t>
        </is>
      </c>
      <c r="J12" s="104" t="n">
        <v>10800</v>
      </c>
      <c r="K12" s="44" t="inlineStr">
        <is>
          <t>Nº Ordens</t>
        </is>
      </c>
    </row>
    <row r="13">
      <c r="B13" s="2" t="inlineStr">
        <is>
          <t>MATERIAL AUXILIAR</t>
        </is>
      </c>
      <c r="C13" s="5">
        <f>$J$11*C12/$G$12</f>
        <v/>
      </c>
      <c r="D13" s="5">
        <f>$J$11*D12/$G$12</f>
        <v/>
      </c>
      <c r="E13" s="5">
        <f>$J$11*E12/$G$12</f>
        <v/>
      </c>
      <c r="F13" s="5">
        <f>$J$11*F12/$G$12</f>
        <v/>
      </c>
      <c r="G13" s="5">
        <f>SUM(C13:F13)</f>
        <v/>
      </c>
      <c r="I13" s="52" t="inlineStr">
        <is>
          <t>TOTAL</t>
        </is>
      </c>
      <c r="J13" s="106">
        <f>SUM(J4:J12)</f>
        <v/>
      </c>
      <c r="K13" s="52" t="n"/>
    </row>
    <row r="14">
      <c r="B14" s="1" t="inlineStr">
        <is>
          <t>Nº ORDENS DE MANUTENÇÃO</t>
        </is>
      </c>
      <c r="C14" s="105">
        <f>C29</f>
        <v/>
      </c>
      <c r="D14" s="105">
        <f>D29</f>
        <v/>
      </c>
      <c r="E14" s="105">
        <f>E29</f>
        <v/>
      </c>
      <c r="F14" s="105">
        <f>F29</f>
        <v/>
      </c>
      <c r="G14" s="105">
        <f>SUM(C14:F14)</f>
        <v/>
      </c>
    </row>
    <row r="15">
      <c r="B15" s="2" t="inlineStr">
        <is>
          <t>MANUTENÇÃO DE EQUIPAMENTOS</t>
        </is>
      </c>
      <c r="C15" s="5">
        <f>$J$12*C14/$G$14</f>
        <v/>
      </c>
      <c r="D15" s="5">
        <f>$J$12*D14/$G$14</f>
        <v/>
      </c>
      <c r="E15" s="5">
        <f>$J$12*E14/$G$14</f>
        <v/>
      </c>
      <c r="F15" s="5">
        <f>$J$12*F14/$G$14</f>
        <v/>
      </c>
      <c r="G15" s="5">
        <f>SUM(C15:F15)</f>
        <v/>
      </c>
    </row>
    <row r="16">
      <c r="B16" s="26" t="inlineStr">
        <is>
          <t>1º RATEIO  ∑</t>
        </is>
      </c>
      <c r="C16" s="31">
        <f>C5+C7+C9+C11+C13+C15</f>
        <v/>
      </c>
      <c r="D16" s="31">
        <f>D5+D7+D9+D11+D13+D15</f>
        <v/>
      </c>
      <c r="E16" s="31">
        <f>E5+E7+E9+E11+E13+E15</f>
        <v/>
      </c>
      <c r="F16" s="31">
        <f>F5+F7+F9+F11+F13+F15</f>
        <v/>
      </c>
      <c r="G16" s="31">
        <f>G5+G7+G9+G11+G13+G15</f>
        <v/>
      </c>
    </row>
    <row r="17">
      <c r="B17" s="27" t="inlineStr">
        <is>
          <t>2º RATEIO – ADMINISTRAÇÃO  ∑</t>
        </is>
      </c>
      <c r="C17" s="107">
        <f>-(C16)</f>
        <v/>
      </c>
      <c r="D17" s="107">
        <f>($C16)*$D$25/($D$25+$E$25+$F$25)</f>
        <v/>
      </c>
      <c r="E17" s="107">
        <f>($C16)*$E$25/($D$25+$E$25+$F$25)</f>
        <v/>
      </c>
      <c r="F17" s="107">
        <f>($C16)*$F$25/($D$25+$E$25+$F$25)</f>
        <v/>
      </c>
      <c r="G17" s="107">
        <f>SUM(C17:F17)</f>
        <v/>
      </c>
    </row>
    <row r="18">
      <c r="C18" s="17" t="inlineStr">
        <is>
          <t>∑ TOTAL</t>
        </is>
      </c>
      <c r="D18" s="108">
        <f>D16+D17</f>
        <v/>
      </c>
      <c r="E18" s="108">
        <f>E16+E17</f>
        <v/>
      </c>
      <c r="F18" s="108">
        <f>F16+F17</f>
        <v/>
      </c>
      <c r="G18" s="108">
        <f>G16+G17</f>
        <v/>
      </c>
    </row>
    <row r="22">
      <c r="B22" s="85" t="inlineStr">
        <is>
          <t>DIRECIONADORES DE RATEIO</t>
        </is>
      </c>
    </row>
    <row r="23">
      <c r="C23" s="102" t="inlineStr">
        <is>
          <t>SEÇÕES</t>
        </is>
      </c>
      <c r="D23" s="100" t="n"/>
      <c r="E23" s="100" t="n"/>
      <c r="F23" s="101" t="n"/>
    </row>
    <row r="24">
      <c r="B24" s="52" t="inlineStr">
        <is>
          <t>DIRECIONADORES</t>
        </is>
      </c>
      <c r="C24" s="48" t="inlineStr">
        <is>
          <t>ADMINISTRAÇÃO</t>
        </is>
      </c>
      <c r="D24" s="48" t="inlineStr">
        <is>
          <t>CORTE CNC</t>
        </is>
      </c>
      <c r="E24" s="48" t="inlineStr">
        <is>
          <t>MONTAGEM</t>
        </is>
      </c>
      <c r="F24" s="48" t="inlineStr">
        <is>
          <t>PINTURA</t>
        </is>
      </c>
    </row>
    <row r="25">
      <c r="B25" s="45" t="inlineStr">
        <is>
          <t>Nº FUNCIONÁRIOS</t>
        </is>
      </c>
      <c r="C25" s="109" t="n">
        <v>9</v>
      </c>
      <c r="D25" s="109" t="n">
        <v>6</v>
      </c>
      <c r="E25" s="109" t="n">
        <v>14</v>
      </c>
      <c r="F25" s="109" t="n">
        <v>7</v>
      </c>
    </row>
    <row r="26">
      <c r="B26" s="45" t="inlineStr">
        <is>
          <t>ÁREA OCUPADA (M²)</t>
        </is>
      </c>
      <c r="C26" s="109" t="n">
        <v>250</v>
      </c>
      <c r="D26" s="109" t="n">
        <v>700</v>
      </c>
      <c r="E26" s="109" t="n">
        <v>900</v>
      </c>
      <c r="F26" s="109" t="n">
        <v>650</v>
      </c>
    </row>
    <row r="27">
      <c r="B27" s="45" t="inlineStr">
        <is>
          <t>POTÊNCIA INSTALADA (KW)</t>
        </is>
      </c>
      <c r="C27" s="109" t="n">
        <v>30</v>
      </c>
      <c r="D27" s="109" t="n">
        <v>350</v>
      </c>
      <c r="E27" s="109" t="n">
        <v>90</v>
      </c>
      <c r="F27" s="109" t="n">
        <v>160</v>
      </c>
    </row>
    <row r="28">
      <c r="B28" s="45" t="inlineStr">
        <is>
          <t>Nº REQUISIÇÕES</t>
        </is>
      </c>
      <c r="C28" s="109" t="n">
        <v>8</v>
      </c>
      <c r="D28" s="109" t="n">
        <v>36</v>
      </c>
      <c r="E28" s="109" t="n">
        <v>62</v>
      </c>
      <c r="F28" s="109" t="n">
        <v>44</v>
      </c>
    </row>
    <row r="29">
      <c r="B29" s="45" t="inlineStr">
        <is>
          <t>Nº ORDENS DE MANUTENÇÃO</t>
        </is>
      </c>
      <c r="C29" s="109" t="n">
        <v>0</v>
      </c>
      <c r="D29" s="109" t="n">
        <v>18</v>
      </c>
      <c r="E29" s="109" t="n">
        <v>6</v>
      </c>
      <c r="F29" s="109" t="n">
        <v>12</v>
      </c>
    </row>
    <row r="30">
      <c r="B30" s="45" t="inlineStr">
        <is>
          <t>HORAS TRABALHADAS/MÊS (POR FUNC.)</t>
        </is>
      </c>
      <c r="C30" s="109" t="n"/>
      <c r="D30" s="109" t="n">
        <v>168</v>
      </c>
      <c r="E30" s="109" t="n">
        <v>168</v>
      </c>
      <c r="F30" s="109" t="n">
        <v>168</v>
      </c>
    </row>
    <row r="33">
      <c r="C33" s="110" t="inlineStr">
        <is>
          <t>TEMPO DE PROCESSO DOS PRODUTOS (MIN/UN)</t>
        </is>
      </c>
      <c r="D33" s="100" t="n"/>
      <c r="E33" s="100" t="n"/>
      <c r="F33" s="101" t="n"/>
    </row>
    <row r="34">
      <c r="C34" s="60" t="inlineStr">
        <is>
          <t>PRODUTO  / SEÇÃO</t>
        </is>
      </c>
      <c r="D34" s="55" t="inlineStr">
        <is>
          <t>CORTE CNC</t>
        </is>
      </c>
      <c r="E34" s="55" t="inlineStr">
        <is>
          <t>MONTAGEM</t>
        </is>
      </c>
      <c r="F34" s="55" t="inlineStr">
        <is>
          <t>PINTURA</t>
        </is>
      </c>
    </row>
    <row r="35">
      <c r="C35" s="44" t="inlineStr">
        <is>
          <t>ARMÁRIO AÉREO</t>
        </is>
      </c>
      <c r="D35" s="111" t="n">
        <v>22</v>
      </c>
      <c r="E35" s="111" t="n">
        <v>45</v>
      </c>
      <c r="F35" s="111" t="n">
        <v>30</v>
      </c>
    </row>
    <row r="36">
      <c r="C36" s="44" t="inlineStr">
        <is>
          <t>GAVETEIRO</t>
        </is>
      </c>
      <c r="D36" s="111" t="n">
        <v>18</v>
      </c>
      <c r="E36" s="111" t="n">
        <v>38</v>
      </c>
      <c r="F36" s="111" t="n">
        <v>25</v>
      </c>
    </row>
    <row r="37">
      <c r="C37" s="44" t="inlineStr">
        <is>
          <t>BALCÃO DE PIA</t>
        </is>
      </c>
      <c r="D37" s="111" t="n">
        <v>35</v>
      </c>
      <c r="E37" s="111" t="n">
        <v>70</v>
      </c>
      <c r="F37" s="111" t="n">
        <v>48</v>
      </c>
    </row>
    <row r="40">
      <c r="C40" s="97" t="inlineStr">
        <is>
          <t>MATÉRIA-PRIMA / CUSTOS VARIÁVEIS (%) / MARGEM DE LUCRO (%)</t>
        </is>
      </c>
      <c r="D40" s="112" t="n"/>
      <c r="E40" s="112" t="n"/>
      <c r="F40" s="112" t="n"/>
      <c r="G40" s="112" t="n"/>
    </row>
    <row r="41">
      <c r="C41" s="64" t="inlineStr">
        <is>
          <t>PRODUTO</t>
        </is>
      </c>
      <c r="D41" s="64" t="inlineStr">
        <is>
          <t>MAT PRIM (R$)</t>
        </is>
      </c>
      <c r="E41" s="64" t="inlineStr">
        <is>
          <t>CVV (%)</t>
        </is>
      </c>
      <c r="F41" s="64" t="inlineStr">
        <is>
          <t>CVP (%)</t>
        </is>
      </c>
      <c r="G41" s="64" t="inlineStr">
        <is>
          <t>LUCRO (%)</t>
        </is>
      </c>
    </row>
    <row r="42">
      <c r="C42" s="53" t="inlineStr">
        <is>
          <t>ARMÁRIO AÉREO</t>
        </is>
      </c>
      <c r="D42" s="113" t="n">
        <v>185</v>
      </c>
      <c r="E42" s="113" t="n">
        <v>15</v>
      </c>
      <c r="F42" s="113" t="n">
        <v>6</v>
      </c>
      <c r="G42" s="113" t="n">
        <v>10</v>
      </c>
    </row>
    <row r="43">
      <c r="C43" s="53" t="inlineStr">
        <is>
          <t>GAVETEIRO</t>
        </is>
      </c>
      <c r="D43" s="113" t="n">
        <v>142</v>
      </c>
      <c r="E43" s="113" t="n">
        <v>15</v>
      </c>
      <c r="F43" s="113" t="n">
        <v>6</v>
      </c>
      <c r="G43" s="113" t="n">
        <v>10</v>
      </c>
    </row>
    <row r="44">
      <c r="C44" s="53" t="inlineStr">
        <is>
          <t>BALCÃO DE PIA</t>
        </is>
      </c>
      <c r="D44" s="113" t="n">
        <v>398</v>
      </c>
      <c r="E44" s="113" t="n">
        <v>15</v>
      </c>
      <c r="F44" s="113" t="n">
        <v>6</v>
      </c>
      <c r="G44" s="113" t="n">
        <v>10</v>
      </c>
    </row>
    <row r="47">
      <c r="C47" s="85" t="inlineStr">
        <is>
          <t>CUSTO MINUTO DAS SEÇÕES</t>
        </is>
      </c>
      <c r="E47" s="114" t="inlineStr">
        <is>
          <t>custo/min arredondado em 2 casas (regra das respostas)</t>
        </is>
      </c>
    </row>
    <row r="49">
      <c r="C49" s="115" t="inlineStr">
        <is>
          <t>CORTE CNC</t>
        </is>
      </c>
      <c r="D49" s="116" t="n"/>
    </row>
    <row r="50">
      <c r="C50" s="67" t="inlineStr">
        <is>
          <t>TEMPO TRABALHADO (MIN)</t>
        </is>
      </c>
      <c r="D50" s="117">
        <f>D30*60</f>
        <v/>
      </c>
    </row>
    <row r="51">
      <c r="C51" s="67" t="inlineStr">
        <is>
          <t>NÚMERO DE FUNCIONÁRIOS</t>
        </is>
      </c>
      <c r="D51" s="117">
        <f>D25</f>
        <v/>
      </c>
    </row>
    <row r="52">
      <c r="C52" s="67" t="inlineStr">
        <is>
          <t>CUSTO TOTAL DA SEÇÃO</t>
        </is>
      </c>
      <c r="D52" s="118">
        <f>D18</f>
        <v/>
      </c>
    </row>
    <row r="53">
      <c r="C53" s="67" t="inlineStr">
        <is>
          <t>CUSTO MINUTO</t>
        </is>
      </c>
      <c r="D53" s="119">
        <f>ROUND(D52/(D50*D51),2)</f>
        <v/>
      </c>
    </row>
    <row r="55">
      <c r="C55" s="115" t="inlineStr">
        <is>
          <t>MONTAGEM</t>
        </is>
      </c>
      <c r="D55" s="116" t="n"/>
    </row>
    <row r="56">
      <c r="C56" s="67" t="inlineStr">
        <is>
          <t>TEMPO TRABALHADO (MIN)</t>
        </is>
      </c>
      <c r="D56" s="117">
        <f>E30*60</f>
        <v/>
      </c>
    </row>
    <row r="57">
      <c r="C57" s="67" t="inlineStr">
        <is>
          <t>NÚMERO DE FUNCIONÁRIOS</t>
        </is>
      </c>
      <c r="D57" s="117">
        <f>E25</f>
        <v/>
      </c>
    </row>
    <row r="58">
      <c r="C58" s="67" t="inlineStr">
        <is>
          <t>CUSTO TOTAL DA SEÇÃO</t>
        </is>
      </c>
      <c r="D58" s="118">
        <f>E18</f>
        <v/>
      </c>
    </row>
    <row r="59">
      <c r="C59" s="67" t="inlineStr">
        <is>
          <t>CUSTO MINUTO</t>
        </is>
      </c>
      <c r="D59" s="119">
        <f>ROUND(D58/(D56*D57),2)</f>
        <v/>
      </c>
    </row>
    <row r="61">
      <c r="C61" s="115" t="inlineStr">
        <is>
          <t>PINTURA</t>
        </is>
      </c>
      <c r="D61" s="116" t="n"/>
    </row>
    <row r="62">
      <c r="C62" s="67" t="inlineStr">
        <is>
          <t>TEMPO TRABALHADO (MIN)</t>
        </is>
      </c>
      <c r="D62" s="117">
        <f>F30*60</f>
        <v/>
      </c>
    </row>
    <row r="63">
      <c r="C63" s="67" t="inlineStr">
        <is>
          <t>NÚMERO DE FUNCIONÁRIOS</t>
        </is>
      </c>
      <c r="D63" s="117">
        <f>F25</f>
        <v/>
      </c>
    </row>
    <row r="64">
      <c r="C64" s="67" t="inlineStr">
        <is>
          <t>CUSTO TOTAL DA SEÇÃO</t>
        </is>
      </c>
      <c r="D64" s="118">
        <f>F18</f>
        <v/>
      </c>
    </row>
    <row r="65">
      <c r="C65" s="67" t="inlineStr">
        <is>
          <t>CUSTO MINUTO</t>
        </is>
      </c>
      <c r="D65" s="119">
        <f>ROUND(D64/(D62*D63),2)</f>
        <v/>
      </c>
    </row>
    <row r="68">
      <c r="C68" s="85" t="inlineStr">
        <is>
          <t>CUSTO RKW / CUSTO TOTAL / PREÇO DE VENDA</t>
        </is>
      </c>
    </row>
    <row r="70">
      <c r="C70" s="120" t="inlineStr">
        <is>
          <t>ARMÁRIO AÉREO</t>
        </is>
      </c>
      <c r="D70" s="100" t="n"/>
      <c r="E70" s="100" t="n"/>
      <c r="F70" s="101" t="n"/>
    </row>
    <row r="71">
      <c r="C71" s="80" t="inlineStr">
        <is>
          <t>CUSTO SEÇÕES</t>
        </is>
      </c>
      <c r="D71" s="54" t="inlineStr">
        <is>
          <t>TEMPO PROCESSO</t>
        </is>
      </c>
      <c r="E71" s="54" t="inlineStr">
        <is>
          <t>CUSTO MINUTO</t>
        </is>
      </c>
      <c r="F71" s="54" t="inlineStr">
        <is>
          <t>CUSTO RKW</t>
        </is>
      </c>
    </row>
    <row r="72">
      <c r="C72" s="78" t="inlineStr">
        <is>
          <t>CUSTO CORTE CNC</t>
        </is>
      </c>
      <c r="D72" s="121">
        <f>D35</f>
        <v/>
      </c>
      <c r="E72" s="122">
        <f>$D$53</f>
        <v/>
      </c>
      <c r="F72" s="123">
        <f>D72*E72</f>
        <v/>
      </c>
    </row>
    <row r="73">
      <c r="C73" s="78" t="inlineStr">
        <is>
          <t>CUSTO MONTAGEM</t>
        </is>
      </c>
      <c r="D73" s="121">
        <f>E35</f>
        <v/>
      </c>
      <c r="E73" s="122">
        <f>$D$59</f>
        <v/>
      </c>
      <c r="F73" s="123">
        <f>D73*E73</f>
        <v/>
      </c>
    </row>
    <row r="74">
      <c r="C74" s="78" t="inlineStr">
        <is>
          <t>CUSTO PINTURA</t>
        </is>
      </c>
      <c r="D74" s="121">
        <f>F35</f>
        <v/>
      </c>
      <c r="E74" s="122">
        <f>$D$65</f>
        <v/>
      </c>
      <c r="F74" s="123">
        <f>D74*E74</f>
        <v/>
      </c>
    </row>
    <row r="75">
      <c r="C75" s="71" t="inlineStr">
        <is>
          <t>CUSTO TOTAL RKW</t>
        </is>
      </c>
      <c r="D75" s="124">
        <f>SUM(F72:F74)</f>
        <v/>
      </c>
    </row>
    <row r="76">
      <c r="C76" s="71" t="inlineStr">
        <is>
          <t>CUSTO TOTAL</t>
        </is>
      </c>
      <c r="D76" s="124">
        <f>(D42+D75)/((100-(E42+F42))/100)</f>
        <v/>
      </c>
    </row>
    <row r="77">
      <c r="C77" s="71" t="inlineStr">
        <is>
          <t>PREÇO DE VENDAS</t>
        </is>
      </c>
      <c r="D77" s="124">
        <f>(D42+D75)/((100-(E42+F42+G42))/100)</f>
        <v/>
      </c>
    </row>
    <row r="79">
      <c r="C79" s="120" t="inlineStr">
        <is>
          <t>GAVETEIRO</t>
        </is>
      </c>
      <c r="D79" s="100" t="n"/>
      <c r="E79" s="100" t="n"/>
      <c r="F79" s="101" t="n"/>
    </row>
    <row r="80">
      <c r="C80" s="80" t="inlineStr">
        <is>
          <t>CUSTO SEÇÕES</t>
        </is>
      </c>
      <c r="D80" s="54" t="inlineStr">
        <is>
          <t>TEMPO PROCESSO</t>
        </is>
      </c>
      <c r="E80" s="54" t="inlineStr">
        <is>
          <t>CUSTO MINUTO</t>
        </is>
      </c>
      <c r="F80" s="54" t="inlineStr">
        <is>
          <t>CUSTO RKW</t>
        </is>
      </c>
    </row>
    <row r="81">
      <c r="C81" s="78" t="inlineStr">
        <is>
          <t>CUSTO CORTE CNC</t>
        </is>
      </c>
      <c r="D81" s="121">
        <f>D36</f>
        <v/>
      </c>
      <c r="E81" s="122">
        <f>$D$53</f>
        <v/>
      </c>
      <c r="F81" s="123">
        <f>D81*E81</f>
        <v/>
      </c>
    </row>
    <row r="82">
      <c r="C82" s="78" t="inlineStr">
        <is>
          <t>CUSTO MONTAGEM</t>
        </is>
      </c>
      <c r="D82" s="121">
        <f>E36</f>
        <v/>
      </c>
      <c r="E82" s="122">
        <f>$D$59</f>
        <v/>
      </c>
      <c r="F82" s="123">
        <f>D82*E82</f>
        <v/>
      </c>
    </row>
    <row r="83">
      <c r="C83" s="78" t="inlineStr">
        <is>
          <t>CUSTO PINTURA</t>
        </is>
      </c>
      <c r="D83" s="121">
        <f>F36</f>
        <v/>
      </c>
      <c r="E83" s="122">
        <f>$D$65</f>
        <v/>
      </c>
      <c r="F83" s="123">
        <f>D83*E83</f>
        <v/>
      </c>
    </row>
    <row r="84">
      <c r="C84" s="71" t="inlineStr">
        <is>
          <t>CUSTO TOTAL RKW</t>
        </is>
      </c>
      <c r="D84" s="124">
        <f>SUM(F81:F83)</f>
        <v/>
      </c>
    </row>
    <row r="85">
      <c r="C85" s="71" t="inlineStr">
        <is>
          <t>CUSTO TOTAL</t>
        </is>
      </c>
      <c r="D85" s="124">
        <f>(D43+D84)/((100-(E43+F43))/100)</f>
        <v/>
      </c>
    </row>
    <row r="86">
      <c r="C86" s="71" t="inlineStr">
        <is>
          <t>PREÇO DE VENDAS</t>
        </is>
      </c>
      <c r="D86" s="124">
        <f>(D43+D84)/((100-(E43+F43+G43))/100)</f>
        <v/>
      </c>
    </row>
    <row r="88">
      <c r="C88" s="120" t="inlineStr">
        <is>
          <t>BALCÃO DE PIA</t>
        </is>
      </c>
      <c r="D88" s="100" t="n"/>
      <c r="E88" s="100" t="n"/>
      <c r="F88" s="101" t="n"/>
    </row>
    <row r="89">
      <c r="C89" s="80" t="inlineStr">
        <is>
          <t>CUSTO SEÇÕES</t>
        </is>
      </c>
      <c r="D89" s="54" t="inlineStr">
        <is>
          <t>TEMPO PROCESSO</t>
        </is>
      </c>
      <c r="E89" s="54" t="inlineStr">
        <is>
          <t>CUSTO MINUTO</t>
        </is>
      </c>
      <c r="F89" s="54" t="inlineStr">
        <is>
          <t>CUSTO RKW</t>
        </is>
      </c>
    </row>
    <row r="90">
      <c r="C90" s="78" t="inlineStr">
        <is>
          <t>CUSTO CORTE CNC</t>
        </is>
      </c>
      <c r="D90" s="121">
        <f>D37</f>
        <v/>
      </c>
      <c r="E90" s="122">
        <f>$D$53</f>
        <v/>
      </c>
      <c r="F90" s="123">
        <f>D90*E90</f>
        <v/>
      </c>
    </row>
    <row r="91">
      <c r="C91" s="78" t="inlineStr">
        <is>
          <t>CUSTO MONTAGEM</t>
        </is>
      </c>
      <c r="D91" s="121">
        <f>E37</f>
        <v/>
      </c>
      <c r="E91" s="122">
        <f>$D$59</f>
        <v/>
      </c>
      <c r="F91" s="123">
        <f>D91*E91</f>
        <v/>
      </c>
    </row>
    <row r="92">
      <c r="C92" s="78" t="inlineStr">
        <is>
          <t>CUSTO PINTURA</t>
        </is>
      </c>
      <c r="D92" s="121">
        <f>F37</f>
        <v/>
      </c>
      <c r="E92" s="122">
        <f>$D$65</f>
        <v/>
      </c>
      <c r="F92" s="123">
        <f>D92*E92</f>
        <v/>
      </c>
    </row>
    <row r="93">
      <c r="C93" s="71" t="inlineStr">
        <is>
          <t>CUSTO TOTAL RKW</t>
        </is>
      </c>
      <c r="D93" s="124">
        <f>SUM(F90:F92)</f>
        <v/>
      </c>
    </row>
    <row r="94">
      <c r="C94" s="71" t="inlineStr">
        <is>
          <t>CUSTO TOTAL</t>
        </is>
      </c>
      <c r="D94" s="124">
        <f>(D44+D93)/((100-(E44+F44))/100)</f>
        <v/>
      </c>
    </row>
    <row r="95">
      <c r="C95" s="71" t="inlineStr">
        <is>
          <t>PREÇO DE VENDAS</t>
        </is>
      </c>
      <c r="D95" s="124">
        <f>(D44+D93)/((100-(E44+F44+G44))/100)</f>
        <v/>
      </c>
    </row>
  </sheetData>
  <mergeCells count="13">
    <mergeCell ref="C70:F70"/>
    <mergeCell ref="I2:K2"/>
    <mergeCell ref="C23:F23"/>
    <mergeCell ref="C47:D47"/>
    <mergeCell ref="C79:F79"/>
    <mergeCell ref="C88:F88"/>
    <mergeCell ref="C55:D55"/>
    <mergeCell ref="C68:F68"/>
    <mergeCell ref="C61:D61"/>
    <mergeCell ref="C33:F33"/>
    <mergeCell ref="C2:F2"/>
    <mergeCell ref="C40:G40"/>
    <mergeCell ref="C49:D49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L9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8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22" customWidth="1" min="10" max="10"/>
    <col width="16" customWidth="1" min="11" max="11"/>
    <col width="16" customWidth="1" min="12" max="12"/>
  </cols>
  <sheetData>
    <row r="1">
      <c r="B1" s="98" t="inlineStr">
        <is>
          <t>Exercício 4 – Implementos Campo Forte Ltda.</t>
        </is>
      </c>
    </row>
    <row r="2">
      <c r="C2" s="99" t="inlineStr">
        <is>
          <t>SEÇÕES</t>
        </is>
      </c>
      <c r="D2" s="100" t="n"/>
      <c r="E2" s="100" t="n"/>
      <c r="F2" s="100" t="n"/>
      <c r="G2" s="101" t="n"/>
      <c r="J2" s="102" t="inlineStr">
        <is>
          <t>CUSTOS DO MÊS</t>
        </is>
      </c>
      <c r="K2" s="100" t="n"/>
      <c r="L2" s="101" t="n"/>
    </row>
    <row r="3">
      <c r="B3" s="18" t="inlineStr">
        <is>
          <t>CUSTOS/DIRECIONADORES</t>
        </is>
      </c>
      <c r="C3" s="19" t="inlineStr">
        <is>
          <t>ADMINISTRAÇÃO</t>
        </is>
      </c>
      <c r="D3" s="19" t="inlineStr">
        <is>
          <t>MANUTENÇÃO</t>
        </is>
      </c>
      <c r="E3" s="19" t="inlineStr">
        <is>
          <t>CORTE E DOBRA</t>
        </is>
      </c>
      <c r="F3" s="19" t="inlineStr">
        <is>
          <t>SOLDAGEM</t>
        </is>
      </c>
      <c r="G3" s="19" t="inlineStr">
        <is>
          <t>PINTURA</t>
        </is>
      </c>
      <c r="H3" s="19" t="inlineStr">
        <is>
          <t>TOTAL</t>
        </is>
      </c>
      <c r="J3" s="52" t="inlineStr">
        <is>
          <t>CUSTO</t>
        </is>
      </c>
      <c r="K3" s="52" t="inlineStr">
        <is>
          <t>VALOR</t>
        </is>
      </c>
      <c r="L3" s="52" t="inlineStr">
        <is>
          <t>DIRECIONADOR</t>
        </is>
      </c>
    </row>
    <row r="4">
      <c r="B4" s="22" t="inlineStr">
        <is>
          <t>Nº FUNCIONÁRIOS</t>
        </is>
      </c>
      <c r="C4" s="103">
        <f>C24</f>
        <v/>
      </c>
      <c r="D4" s="103">
        <f>D24</f>
        <v/>
      </c>
      <c r="E4" s="103">
        <f>E24</f>
        <v/>
      </c>
      <c r="F4" s="103">
        <f>F24</f>
        <v/>
      </c>
      <c r="G4" s="103">
        <f>G24</f>
        <v/>
      </c>
      <c r="H4" s="23" t="n"/>
      <c r="J4" s="45" t="inlineStr">
        <is>
          <t>Salários Administração</t>
        </is>
      </c>
      <c r="K4" s="104" t="n">
        <v>24000</v>
      </c>
      <c r="L4" s="44" t="inlineStr">
        <is>
          <t>Direto</t>
        </is>
      </c>
    </row>
    <row r="5">
      <c r="B5" s="2" t="inlineStr">
        <is>
          <t>SALÁRIOS (DIRETO)</t>
        </is>
      </c>
      <c r="C5" s="5">
        <f>$K$4</f>
        <v/>
      </c>
      <c r="D5" s="5">
        <f>$K$5</f>
        <v/>
      </c>
      <c r="E5" s="5">
        <f>$K$6</f>
        <v/>
      </c>
      <c r="F5" s="5">
        <f>$K$7</f>
        <v/>
      </c>
      <c r="G5" s="5">
        <f>$K$8</f>
        <v/>
      </c>
      <c r="H5" s="5">
        <f>SUM(C5:G5)</f>
        <v/>
      </c>
      <c r="J5" s="45" t="inlineStr">
        <is>
          <t>Salários Manutenção</t>
        </is>
      </c>
      <c r="K5" s="104" t="n">
        <v>15000</v>
      </c>
      <c r="L5" s="44" t="inlineStr">
        <is>
          <t>Direto</t>
        </is>
      </c>
    </row>
    <row r="6">
      <c r="B6" s="1" t="inlineStr">
        <is>
          <t>POTÊNCIA INSTALADA (KW)</t>
        </is>
      </c>
      <c r="C6" s="105">
        <f>C26</f>
        <v/>
      </c>
      <c r="D6" s="105">
        <f>D26</f>
        <v/>
      </c>
      <c r="E6" s="105">
        <f>E26</f>
        <v/>
      </c>
      <c r="F6" s="105">
        <f>F26</f>
        <v/>
      </c>
      <c r="G6" s="105">
        <f>G26</f>
        <v/>
      </c>
      <c r="H6" s="105">
        <f>SUM(C6:G6)</f>
        <v/>
      </c>
      <c r="J6" s="45" t="inlineStr">
        <is>
          <t>Salários Corte e Dobra</t>
        </is>
      </c>
      <c r="K6" s="104" t="n">
        <v>35000</v>
      </c>
      <c r="L6" s="44" t="inlineStr">
        <is>
          <t>Direto</t>
        </is>
      </c>
    </row>
    <row r="7">
      <c r="B7" s="2" t="inlineStr">
        <is>
          <t>ENERGIA ELÉTRICA</t>
        </is>
      </c>
      <c r="C7" s="5">
        <f>$K$9*C6/$H$6</f>
        <v/>
      </c>
      <c r="D7" s="5">
        <f>$K$9*D6/$H$6</f>
        <v/>
      </c>
      <c r="E7" s="5">
        <f>$K$9*E6/$H$6</f>
        <v/>
      </c>
      <c r="F7" s="5">
        <f>$K$9*F6/$H$6</f>
        <v/>
      </c>
      <c r="G7" s="5">
        <f>$K$9*G6/$H$6</f>
        <v/>
      </c>
      <c r="H7" s="5">
        <f>SUM(C7:G7)</f>
        <v/>
      </c>
      <c r="J7" s="45" t="inlineStr">
        <is>
          <t>Salários Soldagem</t>
        </is>
      </c>
      <c r="K7" s="104" t="n">
        <v>61000</v>
      </c>
      <c r="L7" s="44" t="inlineStr">
        <is>
          <t>Direto</t>
        </is>
      </c>
    </row>
    <row r="8">
      <c r="B8" s="22" t="inlineStr">
        <is>
          <t>ÁREA OCUPADA (M²)</t>
        </is>
      </c>
      <c r="C8" s="103">
        <f>C25</f>
        <v/>
      </c>
      <c r="D8" s="103">
        <f>D25</f>
        <v/>
      </c>
      <c r="E8" s="103">
        <f>E25</f>
        <v/>
      </c>
      <c r="F8" s="103">
        <f>F25</f>
        <v/>
      </c>
      <c r="G8" s="103">
        <f>G25</f>
        <v/>
      </c>
      <c r="H8" s="103">
        <f>SUM(C8:G8)</f>
        <v/>
      </c>
      <c r="J8" s="45" t="inlineStr">
        <is>
          <t>Salários Pintura</t>
        </is>
      </c>
      <c r="K8" s="104" t="n">
        <v>21000</v>
      </c>
      <c r="L8" s="44" t="inlineStr">
        <is>
          <t>Direto</t>
        </is>
      </c>
    </row>
    <row r="9">
      <c r="B9" s="2" t="inlineStr">
        <is>
          <t>ALUGUEL</t>
        </is>
      </c>
      <c r="C9" s="5">
        <f>$K$10*C8/$H$8</f>
        <v/>
      </c>
      <c r="D9" s="5">
        <f>$K$10*D8/$H$8</f>
        <v/>
      </c>
      <c r="E9" s="5">
        <f>$K$10*E8/$H$8</f>
        <v/>
      </c>
      <c r="F9" s="5">
        <f>$K$10*F8/$H$8</f>
        <v/>
      </c>
      <c r="G9" s="5">
        <f>$K$10*G8/$H$8</f>
        <v/>
      </c>
      <c r="H9" s="5">
        <f>SUM(C9:G9)</f>
        <v/>
      </c>
      <c r="J9" s="45" t="inlineStr">
        <is>
          <t>Energia elétrica</t>
        </is>
      </c>
      <c r="K9" s="104" t="n">
        <v>32000</v>
      </c>
      <c r="L9" s="44" t="inlineStr">
        <is>
          <t>Potência Inst.</t>
        </is>
      </c>
    </row>
    <row r="10">
      <c r="B10" s="1" t="inlineStr">
        <is>
          <t>ÁREA OCUPADA (M²)</t>
        </is>
      </c>
      <c r="C10" s="105">
        <f>C25</f>
        <v/>
      </c>
      <c r="D10" s="105">
        <f>D25</f>
        <v/>
      </c>
      <c r="E10" s="105">
        <f>E25</f>
        <v/>
      </c>
      <c r="F10" s="105">
        <f>F25</f>
        <v/>
      </c>
      <c r="G10" s="105">
        <f>G25</f>
        <v/>
      </c>
      <c r="H10" s="105">
        <f>SUM(C10:G10)</f>
        <v/>
      </c>
      <c r="J10" s="45" t="inlineStr">
        <is>
          <t>Aluguel</t>
        </is>
      </c>
      <c r="K10" s="104" t="n">
        <v>20000</v>
      </c>
      <c r="L10" s="44" t="inlineStr">
        <is>
          <t>M²</t>
        </is>
      </c>
    </row>
    <row r="11">
      <c r="B11" s="2" t="inlineStr">
        <is>
          <t>SEGURO DO IMÓVEL</t>
        </is>
      </c>
      <c r="C11" s="5">
        <f>$K$11*C10/$H$10</f>
        <v/>
      </c>
      <c r="D11" s="5">
        <f>$K$11*D10/$H$10</f>
        <v/>
      </c>
      <c r="E11" s="5">
        <f>$K$11*E10/$H$10</f>
        <v/>
      </c>
      <c r="F11" s="5">
        <f>$K$11*F10/$H$10</f>
        <v/>
      </c>
      <c r="G11" s="5">
        <f>$K$11*G10/$H$10</f>
        <v/>
      </c>
      <c r="H11" s="5">
        <f>SUM(C11:G11)</f>
        <v/>
      </c>
      <c r="J11" s="45" t="inlineStr">
        <is>
          <t>Seguro do imóvel</t>
        </is>
      </c>
      <c r="K11" s="104" t="n">
        <v>5000</v>
      </c>
      <c r="L11" s="44" t="inlineStr">
        <is>
          <t>M²</t>
        </is>
      </c>
    </row>
    <row r="12">
      <c r="B12" s="22" t="inlineStr">
        <is>
          <t>Nº REQUISIÇÕES</t>
        </is>
      </c>
      <c r="C12" s="103">
        <f>C27</f>
        <v/>
      </c>
      <c r="D12" s="103">
        <f>D27</f>
        <v/>
      </c>
      <c r="E12" s="103">
        <f>E27</f>
        <v/>
      </c>
      <c r="F12" s="103">
        <f>F27</f>
        <v/>
      </c>
      <c r="G12" s="103">
        <f>G27</f>
        <v/>
      </c>
      <c r="H12" s="103">
        <f>SUM(C12:G12)</f>
        <v/>
      </c>
      <c r="J12" s="45" t="inlineStr">
        <is>
          <t>Material auxiliar</t>
        </is>
      </c>
      <c r="K12" s="104" t="n">
        <v>11000</v>
      </c>
      <c r="L12" s="44" t="inlineStr">
        <is>
          <t>Nº Requisições</t>
        </is>
      </c>
    </row>
    <row r="13">
      <c r="B13" s="2" t="inlineStr">
        <is>
          <t>MATERIAL AUXILIAR</t>
        </is>
      </c>
      <c r="C13" s="5">
        <f>$K$12*C12/$H$12</f>
        <v/>
      </c>
      <c r="D13" s="5">
        <f>$K$12*D12/$H$12</f>
        <v/>
      </c>
      <c r="E13" s="5">
        <f>$K$12*E12/$H$12</f>
        <v/>
      </c>
      <c r="F13" s="5">
        <f>$K$12*F12/$H$12</f>
        <v/>
      </c>
      <c r="G13" s="5">
        <f>$K$12*G12/$H$12</f>
        <v/>
      </c>
      <c r="H13" s="5">
        <f>SUM(C13:G13)</f>
        <v/>
      </c>
      <c r="J13" s="52" t="inlineStr">
        <is>
          <t>TOTAL</t>
        </is>
      </c>
      <c r="K13" s="106">
        <f>SUM(K4:K12)</f>
        <v/>
      </c>
      <c r="L13" s="52" t="n"/>
    </row>
    <row r="14">
      <c r="B14" s="26" t="inlineStr">
        <is>
          <t>1º RATEIO  ∑</t>
        </is>
      </c>
      <c r="C14" s="31">
        <f>C5+C7+C9+C11+C13</f>
        <v/>
      </c>
      <c r="D14" s="31">
        <f>D5+D7+D9+D11+D13</f>
        <v/>
      </c>
      <c r="E14" s="31">
        <f>E5+E7+E9+E11+E13</f>
        <v/>
      </c>
      <c r="F14" s="31">
        <f>F5+F7+F9+F11+F13</f>
        <v/>
      </c>
      <c r="G14" s="31">
        <f>G5+G7+G9+G11+G13</f>
        <v/>
      </c>
      <c r="H14" s="31">
        <f>H5+H7+H9+H11+H13</f>
        <v/>
      </c>
    </row>
    <row r="15">
      <c r="B15" s="27" t="inlineStr">
        <is>
          <t>2º RATEIO – ADMINISTRAÇÃO  ∑</t>
        </is>
      </c>
      <c r="C15" s="107">
        <f>-(C14)</f>
        <v/>
      </c>
      <c r="D15" s="107">
        <f>($C14)*$D$24/($D$24+$E$24+$F$24+$G$24)</f>
        <v/>
      </c>
      <c r="E15" s="107">
        <f>($C14)*$E$24/($D$24+$E$24+$F$24+$G$24)</f>
        <v/>
      </c>
      <c r="F15" s="107">
        <f>($C14)*$F$24/($D$24+$E$24+$F$24+$G$24)</f>
        <v/>
      </c>
      <c r="G15" s="107">
        <f>($C14)*$G$24/($D$24+$E$24+$F$24+$G$24)</f>
        <v/>
      </c>
      <c r="H15" s="107">
        <f>SUM(C15:G15)</f>
        <v/>
      </c>
    </row>
    <row r="16">
      <c r="B16" s="27" t="inlineStr">
        <is>
          <t>2º RATEIO – MANUTENÇÃO  ∑</t>
        </is>
      </c>
      <c r="C16" s="107" t="n"/>
      <c r="D16" s="107">
        <f>-(D14+D15)</f>
        <v/>
      </c>
      <c r="E16" s="107">
        <f>($D14+$D15)*$E$24/($E$24+$F$24+$G$24)</f>
        <v/>
      </c>
      <c r="F16" s="107">
        <f>($D14+$D15)*$F$24/($E$24+$F$24+$G$24)</f>
        <v/>
      </c>
      <c r="G16" s="107">
        <f>($D14+$D15)*$G$24/($E$24+$F$24+$G$24)</f>
        <v/>
      </c>
      <c r="H16" s="107">
        <f>SUM(C16:G16)</f>
        <v/>
      </c>
    </row>
    <row r="17">
      <c r="D17" s="17" t="inlineStr">
        <is>
          <t>∑ TOTAL</t>
        </is>
      </c>
      <c r="E17" s="108">
        <f>E14+E15+E16</f>
        <v/>
      </c>
      <c r="F17" s="108">
        <f>F14+F15+F16</f>
        <v/>
      </c>
      <c r="G17" s="108">
        <f>G14+G15+G16</f>
        <v/>
      </c>
      <c r="H17" s="108">
        <f>H14+H15+H16</f>
        <v/>
      </c>
    </row>
    <row r="21">
      <c r="B21" s="85" t="inlineStr">
        <is>
          <t>DIRECIONADORES DE RATEIO</t>
        </is>
      </c>
    </row>
    <row r="22">
      <c r="C22" s="102" t="inlineStr">
        <is>
          <t>SEÇÕES</t>
        </is>
      </c>
      <c r="D22" s="100" t="n"/>
      <c r="E22" s="100" t="n"/>
      <c r="F22" s="100" t="n"/>
      <c r="G22" s="101" t="n"/>
    </row>
    <row r="23">
      <c r="B23" s="52" t="inlineStr">
        <is>
          <t>DIRECIONADORES</t>
        </is>
      </c>
      <c r="C23" s="48" t="inlineStr">
        <is>
          <t>ADMINISTRAÇÃO</t>
        </is>
      </c>
      <c r="D23" s="48" t="inlineStr">
        <is>
          <t>MANUTENÇÃO</t>
        </is>
      </c>
      <c r="E23" s="48" t="inlineStr">
        <is>
          <t>CORTE E DOBRA</t>
        </is>
      </c>
      <c r="F23" s="48" t="inlineStr">
        <is>
          <t>SOLDAGEM</t>
        </is>
      </c>
      <c r="G23" s="48" t="inlineStr">
        <is>
          <t>PINTURA</t>
        </is>
      </c>
    </row>
    <row r="24">
      <c r="B24" s="45" t="inlineStr">
        <is>
          <t>Nº FUNCIONÁRIOS</t>
        </is>
      </c>
      <c r="C24" s="109" t="n">
        <v>8</v>
      </c>
      <c r="D24" s="109" t="n">
        <v>4</v>
      </c>
      <c r="E24" s="109" t="n">
        <v>7</v>
      </c>
      <c r="F24" s="109" t="n">
        <v>10</v>
      </c>
      <c r="G24" s="109" t="n">
        <v>5</v>
      </c>
    </row>
    <row r="25">
      <c r="B25" s="45" t="inlineStr">
        <is>
          <t>ÁREA OCUPADA (M²)</t>
        </is>
      </c>
      <c r="C25" s="109" t="n">
        <v>180</v>
      </c>
      <c r="D25" s="109" t="n">
        <v>120</v>
      </c>
      <c r="E25" s="109" t="n">
        <v>600</v>
      </c>
      <c r="F25" s="109" t="n">
        <v>700</v>
      </c>
      <c r="G25" s="109" t="n">
        <v>400</v>
      </c>
    </row>
    <row r="26">
      <c r="B26" s="45" t="inlineStr">
        <is>
          <t>POTÊNCIA INSTALADA (KW)</t>
        </is>
      </c>
      <c r="C26" s="109" t="n">
        <v>25</v>
      </c>
      <c r="D26" s="109" t="n">
        <v>40</v>
      </c>
      <c r="E26" s="109" t="n">
        <v>320</v>
      </c>
      <c r="F26" s="109" t="n">
        <v>450</v>
      </c>
      <c r="G26" s="109" t="n">
        <v>110</v>
      </c>
    </row>
    <row r="27">
      <c r="B27" s="45" t="inlineStr">
        <is>
          <t>Nº REQUISIÇÕES</t>
        </is>
      </c>
      <c r="C27" s="109" t="n">
        <v>5</v>
      </c>
      <c r="D27" s="109" t="n">
        <v>18</v>
      </c>
      <c r="E27" s="109" t="n">
        <v>30</v>
      </c>
      <c r="F27" s="109" t="n">
        <v>45</v>
      </c>
      <c r="G27" s="109" t="n">
        <v>22</v>
      </c>
    </row>
    <row r="28">
      <c r="B28" s="45" t="inlineStr">
        <is>
          <t>HORAS TRABALHADAS/MÊS (POR FUNC.)</t>
        </is>
      </c>
      <c r="C28" s="109" t="n"/>
      <c r="D28" s="109" t="n"/>
      <c r="E28" s="109" t="n">
        <v>176</v>
      </c>
      <c r="F28" s="109" t="n">
        <v>176</v>
      </c>
      <c r="G28" s="109" t="n">
        <v>176</v>
      </c>
    </row>
    <row r="31">
      <c r="C31" s="110" t="inlineStr">
        <is>
          <t>TEMPO DE PROCESSO DOS PRODUTOS (MIN/UN)</t>
        </is>
      </c>
      <c r="D31" s="100" t="n"/>
      <c r="E31" s="100" t="n"/>
      <c r="F31" s="101" t="n"/>
    </row>
    <row r="32">
      <c r="C32" s="60" t="inlineStr">
        <is>
          <t>PRODUTO  / SEÇÃO</t>
        </is>
      </c>
      <c r="D32" s="55" t="inlineStr">
        <is>
          <t>CORTE E DOBRA</t>
        </is>
      </c>
      <c r="E32" s="55" t="inlineStr">
        <is>
          <t>SOLDAGEM</t>
        </is>
      </c>
      <c r="F32" s="55" t="inlineStr">
        <is>
          <t>PINTURA</t>
        </is>
      </c>
    </row>
    <row r="33">
      <c r="C33" s="44" t="inlineStr">
        <is>
          <t>LÂMINA DE PLAINA</t>
        </is>
      </c>
      <c r="D33" s="111" t="n">
        <v>20</v>
      </c>
      <c r="E33" s="111" t="n">
        <v>26</v>
      </c>
      <c r="F33" s="111" t="n">
        <v>12</v>
      </c>
    </row>
    <row r="34">
      <c r="C34" s="44" t="inlineStr">
        <is>
          <t>ENGATE RÁPIDO</t>
        </is>
      </c>
      <c r="D34" s="111" t="n">
        <v>12</v>
      </c>
      <c r="E34" s="111" t="n">
        <v>18</v>
      </c>
      <c r="F34" s="111" t="n">
        <v>8</v>
      </c>
    </row>
    <row r="35">
      <c r="C35" s="44" t="inlineStr">
        <is>
          <t>SUPORTE DE DISCO</t>
        </is>
      </c>
      <c r="D35" s="111" t="n">
        <v>15</v>
      </c>
      <c r="E35" s="111" t="n">
        <v>10</v>
      </c>
      <c r="F35" s="111" t="n">
        <v>9</v>
      </c>
    </row>
    <row r="38">
      <c r="C38" s="97" t="inlineStr">
        <is>
          <t>MATÉRIA-PRIMA / CUSTOS VARIÁVEIS (%) / MARGEM DE LUCRO (%)</t>
        </is>
      </c>
      <c r="D38" s="112" t="n"/>
      <c r="E38" s="112" t="n"/>
      <c r="F38" s="112" t="n"/>
      <c r="G38" s="112" t="n"/>
    </row>
    <row r="39">
      <c r="C39" s="64" t="inlineStr">
        <is>
          <t>PRODUTO</t>
        </is>
      </c>
      <c r="D39" s="64" t="inlineStr">
        <is>
          <t>MAT PRIM (R$)</t>
        </is>
      </c>
      <c r="E39" s="64" t="inlineStr">
        <is>
          <t>CVV (%)</t>
        </is>
      </c>
      <c r="F39" s="64" t="inlineStr">
        <is>
          <t>CVP (%)</t>
        </is>
      </c>
      <c r="G39" s="64" t="inlineStr">
        <is>
          <t>LUCRO (%)</t>
        </is>
      </c>
    </row>
    <row r="40">
      <c r="C40" s="53" t="inlineStr">
        <is>
          <t>LÂMINA DE PLAINA</t>
        </is>
      </c>
      <c r="D40" s="113" t="n">
        <v>210</v>
      </c>
      <c r="E40" s="113" t="n">
        <v>13</v>
      </c>
      <c r="F40" s="113" t="n">
        <v>7</v>
      </c>
      <c r="G40" s="113" t="n">
        <v>15</v>
      </c>
    </row>
    <row r="41">
      <c r="C41" s="53" t="inlineStr">
        <is>
          <t>ENGATE RÁPIDO</t>
        </is>
      </c>
      <c r="D41" s="113" t="n">
        <v>96</v>
      </c>
      <c r="E41" s="113" t="n">
        <v>13</v>
      </c>
      <c r="F41" s="113" t="n">
        <v>7</v>
      </c>
      <c r="G41" s="113" t="n">
        <v>15</v>
      </c>
    </row>
    <row r="42">
      <c r="C42" s="53" t="inlineStr">
        <is>
          <t>SUPORTE DE DISCO</t>
        </is>
      </c>
      <c r="D42" s="113" t="n">
        <v>74</v>
      </c>
      <c r="E42" s="113" t="n">
        <v>13</v>
      </c>
      <c r="F42" s="113" t="n">
        <v>7</v>
      </c>
      <c r="G42" s="113" t="n">
        <v>15</v>
      </c>
    </row>
    <row r="45">
      <c r="C45" s="85" t="inlineStr">
        <is>
          <t>CUSTO MINUTO DAS SEÇÕES</t>
        </is>
      </c>
      <c r="E45" s="114" t="inlineStr">
        <is>
          <t>custo/min arredondado em 2 casas (regra das respostas)</t>
        </is>
      </c>
    </row>
    <row r="47">
      <c r="C47" s="115" t="inlineStr">
        <is>
          <t>CORTE E DOBRA</t>
        </is>
      </c>
      <c r="D47" s="116" t="n"/>
    </row>
    <row r="48">
      <c r="C48" s="67" t="inlineStr">
        <is>
          <t>TEMPO TRABALHADO (MIN)</t>
        </is>
      </c>
      <c r="D48" s="117">
        <f>E28*60</f>
        <v/>
      </c>
    </row>
    <row r="49">
      <c r="C49" s="67" t="inlineStr">
        <is>
          <t>NÚMERO DE FUNCIONÁRIOS</t>
        </is>
      </c>
      <c r="D49" s="117">
        <f>E24</f>
        <v/>
      </c>
    </row>
    <row r="50">
      <c r="C50" s="67" t="inlineStr">
        <is>
          <t>CUSTO TOTAL DA SEÇÃO</t>
        </is>
      </c>
      <c r="D50" s="118">
        <f>E17</f>
        <v/>
      </c>
    </row>
    <row r="51">
      <c r="C51" s="67" t="inlineStr">
        <is>
          <t>CUSTO MINUTO</t>
        </is>
      </c>
      <c r="D51" s="119">
        <f>ROUND(D50/(D48*D49),2)</f>
        <v/>
      </c>
    </row>
    <row r="53">
      <c r="C53" s="115" t="inlineStr">
        <is>
          <t>SOLDAGEM</t>
        </is>
      </c>
      <c r="D53" s="116" t="n"/>
    </row>
    <row r="54">
      <c r="C54" s="67" t="inlineStr">
        <is>
          <t>TEMPO TRABALHADO (MIN)</t>
        </is>
      </c>
      <c r="D54" s="117">
        <f>F28*60</f>
        <v/>
      </c>
    </row>
    <row r="55">
      <c r="C55" s="67" t="inlineStr">
        <is>
          <t>NÚMERO DE FUNCIONÁRIOS</t>
        </is>
      </c>
      <c r="D55" s="117">
        <f>F24</f>
        <v/>
      </c>
    </row>
    <row r="56">
      <c r="C56" s="67" t="inlineStr">
        <is>
          <t>CUSTO TOTAL DA SEÇÃO</t>
        </is>
      </c>
      <c r="D56" s="118">
        <f>F17</f>
        <v/>
      </c>
    </row>
    <row r="57">
      <c r="C57" s="67" t="inlineStr">
        <is>
          <t>CUSTO MINUTO</t>
        </is>
      </c>
      <c r="D57" s="119">
        <f>ROUND(D56/(D54*D55),2)</f>
        <v/>
      </c>
    </row>
    <row r="59">
      <c r="C59" s="115" t="inlineStr">
        <is>
          <t>PINTURA</t>
        </is>
      </c>
      <c r="D59" s="116" t="n"/>
    </row>
    <row r="60">
      <c r="C60" s="67" t="inlineStr">
        <is>
          <t>TEMPO TRABALHADO (MIN)</t>
        </is>
      </c>
      <c r="D60" s="117">
        <f>G28*60</f>
        <v/>
      </c>
    </row>
    <row r="61">
      <c r="C61" s="67" t="inlineStr">
        <is>
          <t>NÚMERO DE FUNCIONÁRIOS</t>
        </is>
      </c>
      <c r="D61" s="117">
        <f>G24</f>
        <v/>
      </c>
    </row>
    <row r="62">
      <c r="C62" s="67" t="inlineStr">
        <is>
          <t>CUSTO TOTAL DA SEÇÃO</t>
        </is>
      </c>
      <c r="D62" s="118">
        <f>G17</f>
        <v/>
      </c>
    </row>
    <row r="63">
      <c r="C63" s="67" t="inlineStr">
        <is>
          <t>CUSTO MINUTO</t>
        </is>
      </c>
      <c r="D63" s="119">
        <f>ROUND(D62/(D60*D61),2)</f>
        <v/>
      </c>
    </row>
    <row r="66">
      <c r="C66" s="85" t="inlineStr">
        <is>
          <t>CUSTO RKW / CUSTO TOTAL / PREÇO DE VENDA</t>
        </is>
      </c>
    </row>
    <row r="68">
      <c r="C68" s="120" t="inlineStr">
        <is>
          <t>LÂMINA DE PLAINA</t>
        </is>
      </c>
      <c r="D68" s="100" t="n"/>
      <c r="E68" s="100" t="n"/>
      <c r="F68" s="101" t="n"/>
    </row>
    <row r="69">
      <c r="C69" s="80" t="inlineStr">
        <is>
          <t>CUSTO SEÇÕES</t>
        </is>
      </c>
      <c r="D69" s="54" t="inlineStr">
        <is>
          <t>TEMPO PROCESSO</t>
        </is>
      </c>
      <c r="E69" s="54" t="inlineStr">
        <is>
          <t>CUSTO MINUTO</t>
        </is>
      </c>
      <c r="F69" s="54" t="inlineStr">
        <is>
          <t>CUSTO RKW</t>
        </is>
      </c>
    </row>
    <row r="70">
      <c r="C70" s="78" t="inlineStr">
        <is>
          <t>CUSTO CORTE E DOBRA</t>
        </is>
      </c>
      <c r="D70" s="121">
        <f>D33</f>
        <v/>
      </c>
      <c r="E70" s="122">
        <f>$D$51</f>
        <v/>
      </c>
      <c r="F70" s="123">
        <f>D70*E70</f>
        <v/>
      </c>
    </row>
    <row r="71">
      <c r="C71" s="78" t="inlineStr">
        <is>
          <t>CUSTO SOLDAGEM</t>
        </is>
      </c>
      <c r="D71" s="121">
        <f>E33</f>
        <v/>
      </c>
      <c r="E71" s="122">
        <f>$D$57</f>
        <v/>
      </c>
      <c r="F71" s="123">
        <f>D71*E71</f>
        <v/>
      </c>
    </row>
    <row r="72">
      <c r="C72" s="78" t="inlineStr">
        <is>
          <t>CUSTO PINTURA</t>
        </is>
      </c>
      <c r="D72" s="121">
        <f>F33</f>
        <v/>
      </c>
      <c r="E72" s="122">
        <f>$D$63</f>
        <v/>
      </c>
      <c r="F72" s="123">
        <f>D72*E72</f>
        <v/>
      </c>
    </row>
    <row r="73">
      <c r="C73" s="71" t="inlineStr">
        <is>
          <t>CUSTO TOTAL RKW</t>
        </is>
      </c>
      <c r="D73" s="124">
        <f>SUM(F70:F72)</f>
        <v/>
      </c>
    </row>
    <row r="74">
      <c r="C74" s="71" t="inlineStr">
        <is>
          <t>CUSTO TOTAL</t>
        </is>
      </c>
      <c r="D74" s="124">
        <f>(D40+D73)/((100-(E40+F40))/100)</f>
        <v/>
      </c>
    </row>
    <row r="75">
      <c r="C75" s="71" t="inlineStr">
        <is>
          <t>PREÇO DE VENDAS</t>
        </is>
      </c>
      <c r="D75" s="124">
        <f>(D40+D73)/((100-(E40+F40+G40))/100)</f>
        <v/>
      </c>
    </row>
    <row r="77">
      <c r="C77" s="120" t="inlineStr">
        <is>
          <t>ENGATE RÁPIDO</t>
        </is>
      </c>
      <c r="D77" s="100" t="n"/>
      <c r="E77" s="100" t="n"/>
      <c r="F77" s="101" t="n"/>
    </row>
    <row r="78">
      <c r="C78" s="80" t="inlineStr">
        <is>
          <t>CUSTO SEÇÕES</t>
        </is>
      </c>
      <c r="D78" s="54" t="inlineStr">
        <is>
          <t>TEMPO PROCESSO</t>
        </is>
      </c>
      <c r="E78" s="54" t="inlineStr">
        <is>
          <t>CUSTO MINUTO</t>
        </is>
      </c>
      <c r="F78" s="54" t="inlineStr">
        <is>
          <t>CUSTO RKW</t>
        </is>
      </c>
    </row>
    <row r="79">
      <c r="C79" s="78" t="inlineStr">
        <is>
          <t>CUSTO CORTE E DOBRA</t>
        </is>
      </c>
      <c r="D79" s="121">
        <f>D34</f>
        <v/>
      </c>
      <c r="E79" s="122">
        <f>$D$51</f>
        <v/>
      </c>
      <c r="F79" s="123">
        <f>D79*E79</f>
        <v/>
      </c>
    </row>
    <row r="80">
      <c r="C80" s="78" t="inlineStr">
        <is>
          <t>CUSTO SOLDAGEM</t>
        </is>
      </c>
      <c r="D80" s="121">
        <f>E34</f>
        <v/>
      </c>
      <c r="E80" s="122">
        <f>$D$57</f>
        <v/>
      </c>
      <c r="F80" s="123">
        <f>D80*E80</f>
        <v/>
      </c>
    </row>
    <row r="81">
      <c r="C81" s="78" t="inlineStr">
        <is>
          <t>CUSTO PINTURA</t>
        </is>
      </c>
      <c r="D81" s="121">
        <f>F34</f>
        <v/>
      </c>
      <c r="E81" s="122">
        <f>$D$63</f>
        <v/>
      </c>
      <c r="F81" s="123">
        <f>D81*E81</f>
        <v/>
      </c>
    </row>
    <row r="82">
      <c r="C82" s="71" t="inlineStr">
        <is>
          <t>CUSTO TOTAL RKW</t>
        </is>
      </c>
      <c r="D82" s="124">
        <f>SUM(F79:F81)</f>
        <v/>
      </c>
    </row>
    <row r="83">
      <c r="C83" s="71" t="inlineStr">
        <is>
          <t>CUSTO TOTAL</t>
        </is>
      </c>
      <c r="D83" s="124">
        <f>(D41+D82)/((100-(E41+F41))/100)</f>
        <v/>
      </c>
    </row>
    <row r="84">
      <c r="C84" s="71" t="inlineStr">
        <is>
          <t>PREÇO DE VENDAS</t>
        </is>
      </c>
      <c r="D84" s="124">
        <f>(D41+D82)/((100-(E41+F41+G41))/100)</f>
        <v/>
      </c>
    </row>
    <row r="86">
      <c r="C86" s="120" t="inlineStr">
        <is>
          <t>SUPORTE DE DISCO</t>
        </is>
      </c>
      <c r="D86" s="100" t="n"/>
      <c r="E86" s="100" t="n"/>
      <c r="F86" s="101" t="n"/>
    </row>
    <row r="87">
      <c r="C87" s="80" t="inlineStr">
        <is>
          <t>CUSTO SEÇÕES</t>
        </is>
      </c>
      <c r="D87" s="54" t="inlineStr">
        <is>
          <t>TEMPO PROCESSO</t>
        </is>
      </c>
      <c r="E87" s="54" t="inlineStr">
        <is>
          <t>CUSTO MINUTO</t>
        </is>
      </c>
      <c r="F87" s="54" t="inlineStr">
        <is>
          <t>CUSTO RKW</t>
        </is>
      </c>
    </row>
    <row r="88">
      <c r="C88" s="78" t="inlineStr">
        <is>
          <t>CUSTO CORTE E DOBRA</t>
        </is>
      </c>
      <c r="D88" s="121">
        <f>D35</f>
        <v/>
      </c>
      <c r="E88" s="122">
        <f>$D$51</f>
        <v/>
      </c>
      <c r="F88" s="123">
        <f>D88*E88</f>
        <v/>
      </c>
    </row>
    <row r="89">
      <c r="C89" s="78" t="inlineStr">
        <is>
          <t>CUSTO SOLDAGEM</t>
        </is>
      </c>
      <c r="D89" s="121">
        <f>E35</f>
        <v/>
      </c>
      <c r="E89" s="122">
        <f>$D$57</f>
        <v/>
      </c>
      <c r="F89" s="123">
        <f>D89*E89</f>
        <v/>
      </c>
    </row>
    <row r="90">
      <c r="C90" s="78" t="inlineStr">
        <is>
          <t>CUSTO PINTURA</t>
        </is>
      </c>
      <c r="D90" s="121">
        <f>F35</f>
        <v/>
      </c>
      <c r="E90" s="122">
        <f>$D$63</f>
        <v/>
      </c>
      <c r="F90" s="123">
        <f>D90*E90</f>
        <v/>
      </c>
    </row>
    <row r="91">
      <c r="C91" s="71" t="inlineStr">
        <is>
          <t>CUSTO TOTAL RKW</t>
        </is>
      </c>
      <c r="D91" s="124">
        <f>SUM(F88:F90)</f>
        <v/>
      </c>
    </row>
    <row r="92">
      <c r="C92" s="71" t="inlineStr">
        <is>
          <t>CUSTO TOTAL</t>
        </is>
      </c>
      <c r="D92" s="124">
        <f>(D42+D91)/((100-(E42+F42))/100)</f>
        <v/>
      </c>
    </row>
    <row r="93">
      <c r="C93" s="71" t="inlineStr">
        <is>
          <t>PREÇO DE VENDAS</t>
        </is>
      </c>
      <c r="D93" s="124">
        <f>(D42+D91)/((100-(E42+F42+G42))/100)</f>
        <v/>
      </c>
    </row>
  </sheetData>
  <mergeCells count="13">
    <mergeCell ref="C31:F31"/>
    <mergeCell ref="J2:L2"/>
    <mergeCell ref="C47:D47"/>
    <mergeCell ref="C38:G38"/>
    <mergeCell ref="C2:G2"/>
    <mergeCell ref="C77:F77"/>
    <mergeCell ref="C86:F86"/>
    <mergeCell ref="C68:F68"/>
    <mergeCell ref="C45:D45"/>
    <mergeCell ref="C53:D53"/>
    <mergeCell ref="C22:G22"/>
    <mergeCell ref="C66:F66"/>
    <mergeCell ref="C59:D59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M10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8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1" max="11"/>
    <col width="16" customWidth="1" min="12" max="12"/>
    <col width="16" customWidth="1" min="13" max="13"/>
  </cols>
  <sheetData>
    <row r="1">
      <c r="B1" s="98" t="inlineStr">
        <is>
          <t>Exercício 5 – Bicicletas Pedal Sul S.A.</t>
        </is>
      </c>
    </row>
    <row r="2">
      <c r="C2" s="99" t="inlineStr">
        <is>
          <t>SEÇÕES</t>
        </is>
      </c>
      <c r="D2" s="100" t="n"/>
      <c r="E2" s="100" t="n"/>
      <c r="F2" s="100" t="n"/>
      <c r="G2" s="100" t="n"/>
      <c r="H2" s="101" t="n"/>
      <c r="K2" s="102" t="inlineStr">
        <is>
          <t>CUSTOS DO MÊS</t>
        </is>
      </c>
      <c r="L2" s="100" t="n"/>
      <c r="M2" s="101" t="n"/>
    </row>
    <row r="3">
      <c r="B3" s="18" t="inlineStr">
        <is>
          <t>CUSTOS/DIRECIONADORES</t>
        </is>
      </c>
      <c r="C3" s="19" t="inlineStr">
        <is>
          <t>ADMINISTRAÇÃO</t>
        </is>
      </c>
      <c r="D3" s="19" t="inlineStr">
        <is>
          <t>ALMOXARIFADO</t>
        </is>
      </c>
      <c r="E3" s="19" t="inlineStr">
        <is>
          <t>CORTE</t>
        </is>
      </c>
      <c r="F3" s="19" t="inlineStr">
        <is>
          <t>SOLDAGEM</t>
        </is>
      </c>
      <c r="G3" s="19" t="inlineStr">
        <is>
          <t>PINTURA</t>
        </is>
      </c>
      <c r="H3" s="19" t="inlineStr">
        <is>
          <t>MONTAGEM</t>
        </is>
      </c>
      <c r="I3" s="19" t="inlineStr">
        <is>
          <t>TOTAL</t>
        </is>
      </c>
      <c r="K3" s="52" t="inlineStr">
        <is>
          <t>CUSTO</t>
        </is>
      </c>
      <c r="L3" s="52" t="inlineStr">
        <is>
          <t>VALOR</t>
        </is>
      </c>
      <c r="M3" s="52" t="inlineStr">
        <is>
          <t>DIRECIONADOR</t>
        </is>
      </c>
    </row>
    <row r="4">
      <c r="B4" s="22" t="inlineStr">
        <is>
          <t>Nº FUNCIONÁRIOS</t>
        </is>
      </c>
      <c r="C4" s="103">
        <f>C26</f>
        <v/>
      </c>
      <c r="D4" s="103">
        <f>D26</f>
        <v/>
      </c>
      <c r="E4" s="103">
        <f>E26</f>
        <v/>
      </c>
      <c r="F4" s="103">
        <f>F26</f>
        <v/>
      </c>
      <c r="G4" s="103">
        <f>G26</f>
        <v/>
      </c>
      <c r="H4" s="103">
        <f>H26</f>
        <v/>
      </c>
      <c r="I4" s="23" t="n"/>
      <c r="K4" s="45" t="inlineStr">
        <is>
          <t>Salários Administração</t>
        </is>
      </c>
      <c r="L4" s="104" t="n">
        <v>28000</v>
      </c>
      <c r="M4" s="44" t="inlineStr">
        <is>
          <t>Direto</t>
        </is>
      </c>
    </row>
    <row r="5">
      <c r="B5" s="2" t="inlineStr">
        <is>
          <t>SALÁRIOS (DIRETO)</t>
        </is>
      </c>
      <c r="C5" s="5">
        <f>$L$4</f>
        <v/>
      </c>
      <c r="D5" s="5">
        <f>$L$5</f>
        <v/>
      </c>
      <c r="E5" s="5">
        <f>$L$6</f>
        <v/>
      </c>
      <c r="F5" s="5">
        <f>$L$7</f>
        <v/>
      </c>
      <c r="G5" s="5">
        <f>$L$8</f>
        <v/>
      </c>
      <c r="H5" s="5">
        <f>$L$9</f>
        <v/>
      </c>
      <c r="I5" s="5">
        <f>SUM(C5:H5)</f>
        <v/>
      </c>
      <c r="K5" s="45" t="inlineStr">
        <is>
          <t>Salários Almoxarifado</t>
        </is>
      </c>
      <c r="L5" s="104" t="n">
        <v>12000</v>
      </c>
      <c r="M5" s="44" t="inlineStr">
        <is>
          <t>Direto</t>
        </is>
      </c>
    </row>
    <row r="6">
      <c r="B6" s="1" t="inlineStr">
        <is>
          <t>POTÊNCIA INSTALADA (KW)</t>
        </is>
      </c>
      <c r="C6" s="105">
        <f>C28</f>
        <v/>
      </c>
      <c r="D6" s="105">
        <f>D28</f>
        <v/>
      </c>
      <c r="E6" s="105">
        <f>E28</f>
        <v/>
      </c>
      <c r="F6" s="105">
        <f>F28</f>
        <v/>
      </c>
      <c r="G6" s="105">
        <f>G28</f>
        <v/>
      </c>
      <c r="H6" s="105">
        <f>H28</f>
        <v/>
      </c>
      <c r="I6" s="105">
        <f>SUM(C6:H6)</f>
        <v/>
      </c>
      <c r="K6" s="45" t="inlineStr">
        <is>
          <t>Salários Corte</t>
        </is>
      </c>
      <c r="L6" s="104" t="n">
        <v>22000</v>
      </c>
      <c r="M6" s="44" t="inlineStr">
        <is>
          <t>Direto</t>
        </is>
      </c>
    </row>
    <row r="7">
      <c r="B7" s="2" t="inlineStr">
        <is>
          <t>ENERGIA ELÉTRICA</t>
        </is>
      </c>
      <c r="C7" s="5">
        <f>$L$10*C6/$I$6</f>
        <v/>
      </c>
      <c r="D7" s="5">
        <f>$L$10*D6/$I$6</f>
        <v/>
      </c>
      <c r="E7" s="5">
        <f>$L$10*E6/$I$6</f>
        <v/>
      </c>
      <c r="F7" s="5">
        <f>$L$10*F6/$I$6</f>
        <v/>
      </c>
      <c r="G7" s="5">
        <f>$L$10*G6/$I$6</f>
        <v/>
      </c>
      <c r="H7" s="5">
        <f>$L$10*H6/$I$6</f>
        <v/>
      </c>
      <c r="I7" s="5">
        <f>SUM(C7:H7)</f>
        <v/>
      </c>
      <c r="K7" s="45" t="inlineStr">
        <is>
          <t>Salários Soldagem</t>
        </is>
      </c>
      <c r="L7" s="104" t="n">
        <v>41000</v>
      </c>
      <c r="M7" s="44" t="inlineStr">
        <is>
          <t>Direto</t>
        </is>
      </c>
    </row>
    <row r="8">
      <c r="B8" s="22" t="inlineStr">
        <is>
          <t>ÁREA OCUPADA (M²)</t>
        </is>
      </c>
      <c r="C8" s="103">
        <f>C27</f>
        <v/>
      </c>
      <c r="D8" s="103">
        <f>D27</f>
        <v/>
      </c>
      <c r="E8" s="103">
        <f>E27</f>
        <v/>
      </c>
      <c r="F8" s="103">
        <f>F27</f>
        <v/>
      </c>
      <c r="G8" s="103">
        <f>G27</f>
        <v/>
      </c>
      <c r="H8" s="103">
        <f>H27</f>
        <v/>
      </c>
      <c r="I8" s="103">
        <f>SUM(C8:H8)</f>
        <v/>
      </c>
      <c r="K8" s="45" t="inlineStr">
        <is>
          <t>Salários Pintura</t>
        </is>
      </c>
      <c r="L8" s="104" t="n">
        <v>24000</v>
      </c>
      <c r="M8" s="44" t="inlineStr">
        <is>
          <t>Direto</t>
        </is>
      </c>
    </row>
    <row r="9">
      <c r="B9" s="2" t="inlineStr">
        <is>
          <t>ALUGUEL</t>
        </is>
      </c>
      <c r="C9" s="5">
        <f>$L$11*C8/$I$8</f>
        <v/>
      </c>
      <c r="D9" s="5">
        <f>$L$11*D8/$I$8</f>
        <v/>
      </c>
      <c r="E9" s="5">
        <f>$L$11*E8/$I$8</f>
        <v/>
      </c>
      <c r="F9" s="5">
        <f>$L$11*F8/$I$8</f>
        <v/>
      </c>
      <c r="G9" s="5">
        <f>$L$11*G8/$I$8</f>
        <v/>
      </c>
      <c r="H9" s="5">
        <f>$L$11*H8/$I$8</f>
        <v/>
      </c>
      <c r="I9" s="5">
        <f>SUM(C9:H9)</f>
        <v/>
      </c>
      <c r="K9" s="45" t="inlineStr">
        <is>
          <t>Salários Montagem</t>
        </is>
      </c>
      <c r="L9" s="104" t="n">
        <v>46000</v>
      </c>
      <c r="M9" s="44" t="inlineStr">
        <is>
          <t>Direto</t>
        </is>
      </c>
    </row>
    <row r="10">
      <c r="B10" s="1" t="inlineStr">
        <is>
          <t>ÁREA OCUPADA (M²)</t>
        </is>
      </c>
      <c r="C10" s="105">
        <f>C27</f>
        <v/>
      </c>
      <c r="D10" s="105">
        <f>D27</f>
        <v/>
      </c>
      <c r="E10" s="105">
        <f>E27</f>
        <v/>
      </c>
      <c r="F10" s="105">
        <f>F27</f>
        <v/>
      </c>
      <c r="G10" s="105">
        <f>G27</f>
        <v/>
      </c>
      <c r="H10" s="105">
        <f>H27</f>
        <v/>
      </c>
      <c r="I10" s="105">
        <f>SUM(C10:H10)</f>
        <v/>
      </c>
      <c r="K10" s="45" t="inlineStr">
        <is>
          <t>Energia elétrica</t>
        </is>
      </c>
      <c r="L10" s="104" t="n">
        <v>30000</v>
      </c>
      <c r="M10" s="44" t="inlineStr">
        <is>
          <t>Potência Inst.</t>
        </is>
      </c>
    </row>
    <row r="11">
      <c r="B11" s="2" t="inlineStr">
        <is>
          <t>SEGURO DO IMÓVEL</t>
        </is>
      </c>
      <c r="C11" s="5">
        <f>$L$12*C10/$I$10</f>
        <v/>
      </c>
      <c r="D11" s="5">
        <f>$L$12*D10/$I$10</f>
        <v/>
      </c>
      <c r="E11" s="5">
        <f>$L$12*E10/$I$10</f>
        <v/>
      </c>
      <c r="F11" s="5">
        <f>$L$12*F10/$I$10</f>
        <v/>
      </c>
      <c r="G11" s="5">
        <f>$L$12*G10/$I$10</f>
        <v/>
      </c>
      <c r="H11" s="5">
        <f>$L$12*H10/$I$10</f>
        <v/>
      </c>
      <c r="I11" s="5">
        <f>SUM(C11:H11)</f>
        <v/>
      </c>
      <c r="K11" s="45" t="inlineStr">
        <is>
          <t>Aluguel</t>
        </is>
      </c>
      <c r="L11" s="104" t="n">
        <v>32000</v>
      </c>
      <c r="M11" s="44" t="inlineStr">
        <is>
          <t>M²</t>
        </is>
      </c>
    </row>
    <row r="12">
      <c r="B12" s="22" t="inlineStr">
        <is>
          <t>Nº REQUISIÇÕES</t>
        </is>
      </c>
      <c r="C12" s="103">
        <f>C29</f>
        <v/>
      </c>
      <c r="D12" s="103">
        <f>D29</f>
        <v/>
      </c>
      <c r="E12" s="103">
        <f>E29</f>
        <v/>
      </c>
      <c r="F12" s="103">
        <f>F29</f>
        <v/>
      </c>
      <c r="G12" s="103">
        <f>G29</f>
        <v/>
      </c>
      <c r="H12" s="103">
        <f>H29</f>
        <v/>
      </c>
      <c r="I12" s="103">
        <f>SUM(C12:H12)</f>
        <v/>
      </c>
      <c r="K12" s="45" t="inlineStr">
        <is>
          <t>Seguro do imóvel</t>
        </is>
      </c>
      <c r="L12" s="104" t="n">
        <v>8000</v>
      </c>
      <c r="M12" s="44" t="inlineStr">
        <is>
          <t>M²</t>
        </is>
      </c>
    </row>
    <row r="13">
      <c r="B13" s="2" t="inlineStr">
        <is>
          <t>MATERIAL AUXILIAR</t>
        </is>
      </c>
      <c r="C13" s="5">
        <f>$L$13*C12/$I$12</f>
        <v/>
      </c>
      <c r="D13" s="5">
        <f>$L$13*D12/$I$12</f>
        <v/>
      </c>
      <c r="E13" s="5">
        <f>$L$13*E12/$I$12</f>
        <v/>
      </c>
      <c r="F13" s="5">
        <f>$L$13*F12/$I$12</f>
        <v/>
      </c>
      <c r="G13" s="5">
        <f>$L$13*G12/$I$12</f>
        <v/>
      </c>
      <c r="H13" s="5">
        <f>$L$13*H12/$I$12</f>
        <v/>
      </c>
      <c r="I13" s="5">
        <f>SUM(C13:H13)</f>
        <v/>
      </c>
      <c r="K13" s="45" t="inlineStr">
        <is>
          <t>Material auxiliar</t>
        </is>
      </c>
      <c r="L13" s="104" t="n">
        <v>14000</v>
      </c>
      <c r="M13" s="44" t="inlineStr">
        <is>
          <t>Nº Requisições</t>
        </is>
      </c>
    </row>
    <row r="14">
      <c r="B14" s="1" t="inlineStr">
        <is>
          <t>Nº ORDENS DE MANUTENÇÃO</t>
        </is>
      </c>
      <c r="C14" s="105">
        <f>C30</f>
        <v/>
      </c>
      <c r="D14" s="105">
        <f>D30</f>
        <v/>
      </c>
      <c r="E14" s="105">
        <f>E30</f>
        <v/>
      </c>
      <c r="F14" s="105">
        <f>F30</f>
        <v/>
      </c>
      <c r="G14" s="105">
        <f>G30</f>
        <v/>
      </c>
      <c r="H14" s="105">
        <f>H30</f>
        <v/>
      </c>
      <c r="I14" s="105">
        <f>SUM(C14:H14)</f>
        <v/>
      </c>
      <c r="K14" s="45" t="inlineStr">
        <is>
          <t>Manutenção de equipamentos</t>
        </is>
      </c>
      <c r="L14" s="104" t="n">
        <v>16000</v>
      </c>
      <c r="M14" s="44" t="inlineStr">
        <is>
          <t>Nº Ordens</t>
        </is>
      </c>
    </row>
    <row r="15">
      <c r="B15" s="2" t="inlineStr">
        <is>
          <t>MANUTENÇÃO DE EQUIPAMENTOS</t>
        </is>
      </c>
      <c r="C15" s="5">
        <f>$L$14*C14/$I$14</f>
        <v/>
      </c>
      <c r="D15" s="5">
        <f>$L$14*D14/$I$14</f>
        <v/>
      </c>
      <c r="E15" s="5">
        <f>$L$14*E14/$I$14</f>
        <v/>
      </c>
      <c r="F15" s="5">
        <f>$L$14*F14/$I$14</f>
        <v/>
      </c>
      <c r="G15" s="5">
        <f>$L$14*G14/$I$14</f>
        <v/>
      </c>
      <c r="H15" s="5">
        <f>$L$14*H14/$I$14</f>
        <v/>
      </c>
      <c r="I15" s="5">
        <f>SUM(C15:H15)</f>
        <v/>
      </c>
      <c r="K15" s="52" t="inlineStr">
        <is>
          <t>TOTAL</t>
        </is>
      </c>
      <c r="L15" s="106">
        <f>SUM(L4:L14)</f>
        <v/>
      </c>
      <c r="M15" s="52" t="n"/>
    </row>
    <row r="16">
      <c r="B16" s="26" t="inlineStr">
        <is>
          <t>1º RATEIO  ∑</t>
        </is>
      </c>
      <c r="C16" s="31">
        <f>C5+C7+C9+C11+C13+C15</f>
        <v/>
      </c>
      <c r="D16" s="31">
        <f>D5+D7+D9+D11+D13+D15</f>
        <v/>
      </c>
      <c r="E16" s="31">
        <f>E5+E7+E9+E11+E13+E15</f>
        <v/>
      </c>
      <c r="F16" s="31">
        <f>F5+F7+F9+F11+F13+F15</f>
        <v/>
      </c>
      <c r="G16" s="31">
        <f>G5+G7+G9+G11+G13+G15</f>
        <v/>
      </c>
      <c r="H16" s="31">
        <f>H5+H7+H9+H11+H13+H15</f>
        <v/>
      </c>
      <c r="I16" s="31">
        <f>I5+I7+I9+I11+I13+I15</f>
        <v/>
      </c>
    </row>
    <row r="17">
      <c r="B17" s="27" t="inlineStr">
        <is>
          <t>2º RATEIO – ADMINISTRAÇÃO  ∑</t>
        </is>
      </c>
      <c r="C17" s="107">
        <f>-(C16)</f>
        <v/>
      </c>
      <c r="D17" s="107">
        <f>($C16)*$D$26/($D$26+$E$26+$F$26+$G$26+$H$26)</f>
        <v/>
      </c>
      <c r="E17" s="107">
        <f>($C16)*$E$26/($D$26+$E$26+$F$26+$G$26+$H$26)</f>
        <v/>
      </c>
      <c r="F17" s="107">
        <f>($C16)*$F$26/($D$26+$E$26+$F$26+$G$26+$H$26)</f>
        <v/>
      </c>
      <c r="G17" s="107">
        <f>($C16)*$G$26/($D$26+$E$26+$F$26+$G$26+$H$26)</f>
        <v/>
      </c>
      <c r="H17" s="107">
        <f>($C16)*$H$26/($D$26+$E$26+$F$26+$G$26+$H$26)</f>
        <v/>
      </c>
      <c r="I17" s="107">
        <f>SUM(C17:H17)</f>
        <v/>
      </c>
    </row>
    <row r="18">
      <c r="B18" s="27" t="inlineStr">
        <is>
          <t>2º RATEIO – ALMOXARIFADO  ∑</t>
        </is>
      </c>
      <c r="C18" s="107" t="n"/>
      <c r="D18" s="107">
        <f>-(D16+D17)</f>
        <v/>
      </c>
      <c r="E18" s="107">
        <f>($D16+$D17)*$E$26/($E$26+$F$26+$G$26+$H$26)</f>
        <v/>
      </c>
      <c r="F18" s="107">
        <f>($D16+$D17)*$F$26/($E$26+$F$26+$G$26+$H$26)</f>
        <v/>
      </c>
      <c r="G18" s="107">
        <f>($D16+$D17)*$G$26/($E$26+$F$26+$G$26+$H$26)</f>
        <v/>
      </c>
      <c r="H18" s="107">
        <f>($D16+$D17)*$H$26/($E$26+$F$26+$G$26+$H$26)</f>
        <v/>
      </c>
      <c r="I18" s="107">
        <f>SUM(C18:H18)</f>
        <v/>
      </c>
    </row>
    <row r="19">
      <c r="D19" s="17" t="inlineStr">
        <is>
          <t>∑ TOTAL</t>
        </is>
      </c>
      <c r="E19" s="108">
        <f>E16+E17+E18</f>
        <v/>
      </c>
      <c r="F19" s="108">
        <f>F16+F17+F18</f>
        <v/>
      </c>
      <c r="G19" s="108">
        <f>G16+G17+G18</f>
        <v/>
      </c>
      <c r="H19" s="108">
        <f>H16+H17+H18</f>
        <v/>
      </c>
      <c r="I19" s="108">
        <f>I16+I17+I18</f>
        <v/>
      </c>
    </row>
    <row r="23">
      <c r="B23" s="85" t="inlineStr">
        <is>
          <t>DIRECIONADORES DE RATEIO</t>
        </is>
      </c>
    </row>
    <row r="24">
      <c r="C24" s="102" t="inlineStr">
        <is>
          <t>SEÇÕES</t>
        </is>
      </c>
      <c r="D24" s="100" t="n"/>
      <c r="E24" s="100" t="n"/>
      <c r="F24" s="100" t="n"/>
      <c r="G24" s="100" t="n"/>
      <c r="H24" s="101" t="n"/>
    </row>
    <row r="25">
      <c r="B25" s="52" t="inlineStr">
        <is>
          <t>DIRECIONADORES</t>
        </is>
      </c>
      <c r="C25" s="48" t="inlineStr">
        <is>
          <t>ADMINISTRAÇÃO</t>
        </is>
      </c>
      <c r="D25" s="48" t="inlineStr">
        <is>
          <t>ALMOXARIFADO</t>
        </is>
      </c>
      <c r="E25" s="48" t="inlineStr">
        <is>
          <t>CORTE</t>
        </is>
      </c>
      <c r="F25" s="48" t="inlineStr">
        <is>
          <t>SOLDAGEM</t>
        </is>
      </c>
      <c r="G25" s="48" t="inlineStr">
        <is>
          <t>PINTURA</t>
        </is>
      </c>
      <c r="H25" s="48" t="inlineStr">
        <is>
          <t>MONTAGEM</t>
        </is>
      </c>
    </row>
    <row r="26">
      <c r="B26" s="45" t="inlineStr">
        <is>
          <t>Nº FUNCIONÁRIOS</t>
        </is>
      </c>
      <c r="C26" s="109" t="n">
        <v>10</v>
      </c>
      <c r="D26" s="109" t="n">
        <v>4</v>
      </c>
      <c r="E26" s="109" t="n">
        <v>5</v>
      </c>
      <c r="F26" s="109" t="n">
        <v>9</v>
      </c>
      <c r="G26" s="109" t="n">
        <v>5</v>
      </c>
      <c r="H26" s="109" t="n">
        <v>12</v>
      </c>
    </row>
    <row r="27">
      <c r="B27" s="45" t="inlineStr">
        <is>
          <t>ÁREA OCUPADA (M²)</t>
        </is>
      </c>
      <c r="C27" s="109" t="n">
        <v>220</v>
      </c>
      <c r="D27" s="109" t="n">
        <v>300</v>
      </c>
      <c r="E27" s="109" t="n">
        <v>250</v>
      </c>
      <c r="F27" s="109" t="n">
        <v>400</v>
      </c>
      <c r="G27" s="109" t="n">
        <v>350</v>
      </c>
      <c r="H27" s="109" t="n">
        <v>600</v>
      </c>
    </row>
    <row r="28">
      <c r="B28" s="45" t="inlineStr">
        <is>
          <t>POTÊNCIA INSTALADA (KW)</t>
        </is>
      </c>
      <c r="C28" s="109" t="n">
        <v>30</v>
      </c>
      <c r="D28" s="109" t="n">
        <v>15</v>
      </c>
      <c r="E28" s="109" t="n">
        <v>140</v>
      </c>
      <c r="F28" s="109" t="n">
        <v>360</v>
      </c>
      <c r="G28" s="109" t="n">
        <v>180</v>
      </c>
      <c r="H28" s="109" t="n">
        <v>60</v>
      </c>
    </row>
    <row r="29">
      <c r="B29" s="45" t="inlineStr">
        <is>
          <t>Nº REQUISIÇÕES</t>
        </is>
      </c>
      <c r="C29" s="109" t="n">
        <v>10</v>
      </c>
      <c r="D29" s="109" t="n">
        <v>0</v>
      </c>
      <c r="E29" s="109" t="n">
        <v>24</v>
      </c>
      <c r="F29" s="109" t="n">
        <v>48</v>
      </c>
      <c r="G29" s="109" t="n">
        <v>36</v>
      </c>
      <c r="H29" s="109" t="n">
        <v>62</v>
      </c>
    </row>
    <row r="30">
      <c r="B30" s="45" t="inlineStr">
        <is>
          <t>Nº ORDENS DE MANUTENÇÃO</t>
        </is>
      </c>
      <c r="C30" s="109" t="n">
        <v>0</v>
      </c>
      <c r="D30" s="109" t="n">
        <v>2</v>
      </c>
      <c r="E30" s="109" t="n">
        <v>14</v>
      </c>
      <c r="F30" s="109" t="n">
        <v>20</v>
      </c>
      <c r="G30" s="109" t="n">
        <v>9</v>
      </c>
      <c r="H30" s="109" t="n">
        <v>5</v>
      </c>
    </row>
    <row r="31">
      <c r="B31" s="45" t="inlineStr">
        <is>
          <t>HORAS TRABALHADAS/MÊS (POR FUNC.)</t>
        </is>
      </c>
      <c r="C31" s="109" t="n"/>
      <c r="D31" s="109" t="n"/>
      <c r="E31" s="109" t="n">
        <v>176</v>
      </c>
      <c r="F31" s="109" t="n">
        <v>176</v>
      </c>
      <c r="G31" s="109" t="n">
        <v>176</v>
      </c>
      <c r="H31" s="109" t="n">
        <v>176</v>
      </c>
    </row>
    <row r="34">
      <c r="C34" s="110" t="inlineStr">
        <is>
          <t>TEMPO DE PROCESSO DOS PRODUTOS (MIN/UN)</t>
        </is>
      </c>
      <c r="D34" s="100" t="n"/>
      <c r="E34" s="100" t="n"/>
      <c r="F34" s="100" t="n"/>
      <c r="G34" s="101" t="n"/>
    </row>
    <row r="35">
      <c r="C35" s="60" t="inlineStr">
        <is>
          <t>PRODUTO  / SEÇÃO</t>
        </is>
      </c>
      <c r="D35" s="55" t="inlineStr">
        <is>
          <t>CORTE</t>
        </is>
      </c>
      <c r="E35" s="55" t="inlineStr">
        <is>
          <t>SOLDAGEM</t>
        </is>
      </c>
      <c r="F35" s="55" t="inlineStr">
        <is>
          <t>PINTURA</t>
        </is>
      </c>
      <c r="G35" s="55" t="inlineStr">
        <is>
          <t>MONTAGEM</t>
        </is>
      </c>
    </row>
    <row r="36">
      <c r="C36" s="44" t="inlineStr">
        <is>
          <t>URBANA ARO 26</t>
        </is>
      </c>
      <c r="D36" s="111" t="n">
        <v>12</v>
      </c>
      <c r="E36" s="111" t="n">
        <v>28</v>
      </c>
      <c r="F36" s="111" t="n">
        <v>18</v>
      </c>
      <c r="G36" s="111" t="n">
        <v>35</v>
      </c>
    </row>
    <row r="37">
      <c r="C37" s="44" t="inlineStr">
        <is>
          <t>MTB ARO 29</t>
        </is>
      </c>
      <c r="D37" s="111" t="n">
        <v>15</v>
      </c>
      <c r="E37" s="111" t="n">
        <v>36</v>
      </c>
      <c r="F37" s="111" t="n">
        <v>22</v>
      </c>
      <c r="G37" s="111" t="n">
        <v>48</v>
      </c>
    </row>
    <row r="38">
      <c r="C38" s="44" t="inlineStr">
        <is>
          <t>INFANTIL ARO 16</t>
        </is>
      </c>
      <c r="D38" s="111" t="n">
        <v>8</v>
      </c>
      <c r="E38" s="111" t="n">
        <v>16</v>
      </c>
      <c r="F38" s="111" t="n">
        <v>12</v>
      </c>
      <c r="G38" s="111" t="n">
        <v>22</v>
      </c>
    </row>
    <row r="41">
      <c r="C41" s="97" t="inlineStr">
        <is>
          <t>MATÉRIA-PRIMA / CUSTOS VARIÁVEIS (%) / MARGEM DE LUCRO (%)</t>
        </is>
      </c>
      <c r="D41" s="112" t="n"/>
      <c r="E41" s="112" t="n"/>
      <c r="F41" s="112" t="n"/>
      <c r="G41" s="112" t="n"/>
    </row>
    <row r="42">
      <c r="C42" s="64" t="inlineStr">
        <is>
          <t>PRODUTO</t>
        </is>
      </c>
      <c r="D42" s="64" t="inlineStr">
        <is>
          <t>MAT PRIM (R$)</t>
        </is>
      </c>
      <c r="E42" s="64" t="inlineStr">
        <is>
          <t>CVV (%)</t>
        </is>
      </c>
      <c r="F42" s="64" t="inlineStr">
        <is>
          <t>CVP (%)</t>
        </is>
      </c>
      <c r="G42" s="64" t="inlineStr">
        <is>
          <t>LUCRO (%)</t>
        </is>
      </c>
    </row>
    <row r="43">
      <c r="C43" s="53" t="inlineStr">
        <is>
          <t>URBANA ARO 26</t>
        </is>
      </c>
      <c r="D43" s="113" t="n">
        <v>420</v>
      </c>
      <c r="E43" s="113" t="n">
        <v>16</v>
      </c>
      <c r="F43" s="113" t="n">
        <v>6</v>
      </c>
      <c r="G43" s="113" t="n">
        <v>12</v>
      </c>
    </row>
    <row r="44">
      <c r="C44" s="53" t="inlineStr">
        <is>
          <t>MTB ARO 29</t>
        </is>
      </c>
      <c r="D44" s="113" t="n">
        <v>780</v>
      </c>
      <c r="E44" s="113" t="n">
        <v>16</v>
      </c>
      <c r="F44" s="113" t="n">
        <v>6</v>
      </c>
      <c r="G44" s="113" t="n">
        <v>12</v>
      </c>
    </row>
    <row r="45">
      <c r="C45" s="53" t="inlineStr">
        <is>
          <t>INFANTIL ARO 16</t>
        </is>
      </c>
      <c r="D45" s="113" t="n">
        <v>190</v>
      </c>
      <c r="E45" s="113" t="n">
        <v>16</v>
      </c>
      <c r="F45" s="113" t="n">
        <v>6</v>
      </c>
      <c r="G45" s="113" t="n">
        <v>12</v>
      </c>
    </row>
    <row r="48">
      <c r="C48" s="85" t="inlineStr">
        <is>
          <t>CUSTO MINUTO DAS SEÇÕES</t>
        </is>
      </c>
      <c r="E48" s="114" t="inlineStr">
        <is>
          <t>custo/min arredondado em 2 casas (regra das respostas)</t>
        </is>
      </c>
    </row>
    <row r="50">
      <c r="C50" s="115" t="inlineStr">
        <is>
          <t>CORTE</t>
        </is>
      </c>
      <c r="D50" s="116" t="n"/>
    </row>
    <row r="51">
      <c r="C51" s="67" t="inlineStr">
        <is>
          <t>TEMPO TRABALHADO (MIN)</t>
        </is>
      </c>
      <c r="D51" s="117">
        <f>E31*60</f>
        <v/>
      </c>
    </row>
    <row r="52">
      <c r="C52" s="67" t="inlineStr">
        <is>
          <t>NÚMERO DE FUNCIONÁRIOS</t>
        </is>
      </c>
      <c r="D52" s="117">
        <f>E26</f>
        <v/>
      </c>
    </row>
    <row r="53">
      <c r="C53" s="67" t="inlineStr">
        <is>
          <t>CUSTO TOTAL DA SEÇÃO</t>
        </is>
      </c>
      <c r="D53" s="118">
        <f>E19</f>
        <v/>
      </c>
    </row>
    <row r="54">
      <c r="C54" s="67" t="inlineStr">
        <is>
          <t>CUSTO MINUTO</t>
        </is>
      </c>
      <c r="D54" s="119">
        <f>ROUND(D53/(D51*D52),2)</f>
        <v/>
      </c>
    </row>
    <row r="56">
      <c r="C56" s="115" t="inlineStr">
        <is>
          <t>SOLDAGEM</t>
        </is>
      </c>
      <c r="D56" s="116" t="n"/>
    </row>
    <row r="57">
      <c r="C57" s="67" t="inlineStr">
        <is>
          <t>TEMPO TRABALHADO (MIN)</t>
        </is>
      </c>
      <c r="D57" s="117">
        <f>F31*60</f>
        <v/>
      </c>
    </row>
    <row r="58">
      <c r="C58" s="67" t="inlineStr">
        <is>
          <t>NÚMERO DE FUNCIONÁRIOS</t>
        </is>
      </c>
      <c r="D58" s="117">
        <f>F26</f>
        <v/>
      </c>
    </row>
    <row r="59">
      <c r="C59" s="67" t="inlineStr">
        <is>
          <t>CUSTO TOTAL DA SEÇÃO</t>
        </is>
      </c>
      <c r="D59" s="118">
        <f>F19</f>
        <v/>
      </c>
    </row>
    <row r="60">
      <c r="C60" s="67" t="inlineStr">
        <is>
          <t>CUSTO MINUTO</t>
        </is>
      </c>
      <c r="D60" s="119">
        <f>ROUND(D59/(D57*D58),2)</f>
        <v/>
      </c>
    </row>
    <row r="62">
      <c r="C62" s="115" t="inlineStr">
        <is>
          <t>PINTURA</t>
        </is>
      </c>
      <c r="D62" s="116" t="n"/>
    </row>
    <row r="63">
      <c r="C63" s="67" t="inlineStr">
        <is>
          <t>TEMPO TRABALHADO (MIN)</t>
        </is>
      </c>
      <c r="D63" s="117">
        <f>G31*60</f>
        <v/>
      </c>
    </row>
    <row r="64">
      <c r="C64" s="67" t="inlineStr">
        <is>
          <t>NÚMERO DE FUNCIONÁRIOS</t>
        </is>
      </c>
      <c r="D64" s="117">
        <f>G26</f>
        <v/>
      </c>
    </row>
    <row r="65">
      <c r="C65" s="67" t="inlineStr">
        <is>
          <t>CUSTO TOTAL DA SEÇÃO</t>
        </is>
      </c>
      <c r="D65" s="118">
        <f>G19</f>
        <v/>
      </c>
    </row>
    <row r="66">
      <c r="C66" s="67" t="inlineStr">
        <is>
          <t>CUSTO MINUTO</t>
        </is>
      </c>
      <c r="D66" s="119">
        <f>ROUND(D65/(D63*D64),2)</f>
        <v/>
      </c>
    </row>
    <row r="68">
      <c r="C68" s="115" t="inlineStr">
        <is>
          <t>MONTAGEM</t>
        </is>
      </c>
      <c r="D68" s="116" t="n"/>
    </row>
    <row r="69">
      <c r="C69" s="67" t="inlineStr">
        <is>
          <t>TEMPO TRABALHADO (MIN)</t>
        </is>
      </c>
      <c r="D69" s="117">
        <f>H31*60</f>
        <v/>
      </c>
    </row>
    <row r="70">
      <c r="C70" s="67" t="inlineStr">
        <is>
          <t>NÚMERO DE FUNCIONÁRIOS</t>
        </is>
      </c>
      <c r="D70" s="117">
        <f>H26</f>
        <v/>
      </c>
    </row>
    <row r="71">
      <c r="C71" s="67" t="inlineStr">
        <is>
          <t>CUSTO TOTAL DA SEÇÃO</t>
        </is>
      </c>
      <c r="D71" s="118">
        <f>H19</f>
        <v/>
      </c>
    </row>
    <row r="72">
      <c r="C72" s="67" t="inlineStr">
        <is>
          <t>CUSTO MINUTO</t>
        </is>
      </c>
      <c r="D72" s="119">
        <f>ROUND(D71/(D69*D70),2)</f>
        <v/>
      </c>
    </row>
    <row r="75">
      <c r="C75" s="85" t="inlineStr">
        <is>
          <t>CUSTO RKW / CUSTO TOTAL / PREÇO DE VENDA</t>
        </is>
      </c>
    </row>
    <row r="77">
      <c r="C77" s="120" t="inlineStr">
        <is>
          <t>URBANA ARO 26</t>
        </is>
      </c>
      <c r="D77" s="100" t="n"/>
      <c r="E77" s="100" t="n"/>
      <c r="F77" s="101" t="n"/>
    </row>
    <row r="78">
      <c r="C78" s="80" t="inlineStr">
        <is>
          <t>CUSTO SEÇÕES</t>
        </is>
      </c>
      <c r="D78" s="54" t="inlineStr">
        <is>
          <t>TEMPO PROCESSO</t>
        </is>
      </c>
      <c r="E78" s="54" t="inlineStr">
        <is>
          <t>CUSTO MINUTO</t>
        </is>
      </c>
      <c r="F78" s="54" t="inlineStr">
        <is>
          <t>CUSTO RKW</t>
        </is>
      </c>
    </row>
    <row r="79">
      <c r="C79" s="78" t="inlineStr">
        <is>
          <t>CUSTO CORTE</t>
        </is>
      </c>
      <c r="D79" s="121">
        <f>D36</f>
        <v/>
      </c>
      <c r="E79" s="122">
        <f>$D$54</f>
        <v/>
      </c>
      <c r="F79" s="123">
        <f>D79*E79</f>
        <v/>
      </c>
    </row>
    <row r="80">
      <c r="C80" s="78" t="inlineStr">
        <is>
          <t>CUSTO SOLDAGEM</t>
        </is>
      </c>
      <c r="D80" s="121">
        <f>E36</f>
        <v/>
      </c>
      <c r="E80" s="122">
        <f>$D$60</f>
        <v/>
      </c>
      <c r="F80" s="123">
        <f>D80*E80</f>
        <v/>
      </c>
    </row>
    <row r="81">
      <c r="C81" s="78" t="inlineStr">
        <is>
          <t>CUSTO PINTURA</t>
        </is>
      </c>
      <c r="D81" s="121">
        <f>F36</f>
        <v/>
      </c>
      <c r="E81" s="122">
        <f>$D$66</f>
        <v/>
      </c>
      <c r="F81" s="123">
        <f>D81*E81</f>
        <v/>
      </c>
    </row>
    <row r="82">
      <c r="C82" s="78" t="inlineStr">
        <is>
          <t>CUSTO MONTAGEM</t>
        </is>
      </c>
      <c r="D82" s="121">
        <f>G36</f>
        <v/>
      </c>
      <c r="E82" s="122">
        <f>$D$72</f>
        <v/>
      </c>
      <c r="F82" s="123">
        <f>D82*E82</f>
        <v/>
      </c>
    </row>
    <row r="83">
      <c r="C83" s="71" t="inlineStr">
        <is>
          <t>CUSTO TOTAL RKW</t>
        </is>
      </c>
      <c r="D83" s="124">
        <f>SUM(F79:F82)</f>
        <v/>
      </c>
    </row>
    <row r="84">
      <c r="C84" s="71" t="inlineStr">
        <is>
          <t>CUSTO TOTAL</t>
        </is>
      </c>
      <c r="D84" s="124">
        <f>(D43+D83)/((100-(E43+F43))/100)</f>
        <v/>
      </c>
    </row>
    <row r="85">
      <c r="C85" s="71" t="inlineStr">
        <is>
          <t>PREÇO DE VENDAS</t>
        </is>
      </c>
      <c r="D85" s="124">
        <f>(D43+D83)/((100-(E43+F43+G43))/100)</f>
        <v/>
      </c>
    </row>
    <row r="87">
      <c r="C87" s="120" t="inlineStr">
        <is>
          <t>MTB ARO 29</t>
        </is>
      </c>
      <c r="D87" s="100" t="n"/>
      <c r="E87" s="100" t="n"/>
      <c r="F87" s="101" t="n"/>
    </row>
    <row r="88">
      <c r="C88" s="80" t="inlineStr">
        <is>
          <t>CUSTO SEÇÕES</t>
        </is>
      </c>
      <c r="D88" s="54" t="inlineStr">
        <is>
          <t>TEMPO PROCESSO</t>
        </is>
      </c>
      <c r="E88" s="54" t="inlineStr">
        <is>
          <t>CUSTO MINUTO</t>
        </is>
      </c>
      <c r="F88" s="54" t="inlineStr">
        <is>
          <t>CUSTO RKW</t>
        </is>
      </c>
    </row>
    <row r="89">
      <c r="C89" s="78" t="inlineStr">
        <is>
          <t>CUSTO CORTE</t>
        </is>
      </c>
      <c r="D89" s="121">
        <f>D37</f>
        <v/>
      </c>
      <c r="E89" s="122">
        <f>$D$54</f>
        <v/>
      </c>
      <c r="F89" s="123">
        <f>D89*E89</f>
        <v/>
      </c>
    </row>
    <row r="90">
      <c r="C90" s="78" t="inlineStr">
        <is>
          <t>CUSTO SOLDAGEM</t>
        </is>
      </c>
      <c r="D90" s="121">
        <f>E37</f>
        <v/>
      </c>
      <c r="E90" s="122">
        <f>$D$60</f>
        <v/>
      </c>
      <c r="F90" s="123">
        <f>D90*E90</f>
        <v/>
      </c>
    </row>
    <row r="91">
      <c r="C91" s="78" t="inlineStr">
        <is>
          <t>CUSTO PINTURA</t>
        </is>
      </c>
      <c r="D91" s="121">
        <f>F37</f>
        <v/>
      </c>
      <c r="E91" s="122">
        <f>$D$66</f>
        <v/>
      </c>
      <c r="F91" s="123">
        <f>D91*E91</f>
        <v/>
      </c>
    </row>
    <row r="92">
      <c r="C92" s="78" t="inlineStr">
        <is>
          <t>CUSTO MONTAGEM</t>
        </is>
      </c>
      <c r="D92" s="121">
        <f>G37</f>
        <v/>
      </c>
      <c r="E92" s="122">
        <f>$D$72</f>
        <v/>
      </c>
      <c r="F92" s="123">
        <f>D92*E92</f>
        <v/>
      </c>
    </row>
    <row r="93">
      <c r="C93" s="71" t="inlineStr">
        <is>
          <t>CUSTO TOTAL RKW</t>
        </is>
      </c>
      <c r="D93" s="124">
        <f>SUM(F89:F92)</f>
        <v/>
      </c>
    </row>
    <row r="94">
      <c r="C94" s="71" t="inlineStr">
        <is>
          <t>CUSTO TOTAL</t>
        </is>
      </c>
      <c r="D94" s="124">
        <f>(D44+D93)/((100-(E44+F44))/100)</f>
        <v/>
      </c>
    </row>
    <row r="95">
      <c r="C95" s="71" t="inlineStr">
        <is>
          <t>PREÇO DE VENDAS</t>
        </is>
      </c>
      <c r="D95" s="124">
        <f>(D44+D93)/((100-(E44+F44+G44))/100)</f>
        <v/>
      </c>
    </row>
    <row r="97">
      <c r="C97" s="120" t="inlineStr">
        <is>
          <t>INFANTIL ARO 16</t>
        </is>
      </c>
      <c r="D97" s="100" t="n"/>
      <c r="E97" s="100" t="n"/>
      <c r="F97" s="101" t="n"/>
    </row>
    <row r="98">
      <c r="C98" s="80" t="inlineStr">
        <is>
          <t>CUSTO SEÇÕES</t>
        </is>
      </c>
      <c r="D98" s="54" t="inlineStr">
        <is>
          <t>TEMPO PROCESSO</t>
        </is>
      </c>
      <c r="E98" s="54" t="inlineStr">
        <is>
          <t>CUSTO MINUTO</t>
        </is>
      </c>
      <c r="F98" s="54" t="inlineStr">
        <is>
          <t>CUSTO RKW</t>
        </is>
      </c>
    </row>
    <row r="99">
      <c r="C99" s="78" t="inlineStr">
        <is>
          <t>CUSTO CORTE</t>
        </is>
      </c>
      <c r="D99" s="121">
        <f>D38</f>
        <v/>
      </c>
      <c r="E99" s="122">
        <f>$D$54</f>
        <v/>
      </c>
      <c r="F99" s="123">
        <f>D99*E99</f>
        <v/>
      </c>
    </row>
    <row r="100">
      <c r="C100" s="78" t="inlineStr">
        <is>
          <t>CUSTO SOLDAGEM</t>
        </is>
      </c>
      <c r="D100" s="121">
        <f>E38</f>
        <v/>
      </c>
      <c r="E100" s="122">
        <f>$D$60</f>
        <v/>
      </c>
      <c r="F100" s="123">
        <f>D100*E100</f>
        <v/>
      </c>
    </row>
    <row r="101">
      <c r="C101" s="78" t="inlineStr">
        <is>
          <t>CUSTO PINTURA</t>
        </is>
      </c>
      <c r="D101" s="121">
        <f>F38</f>
        <v/>
      </c>
      <c r="E101" s="122">
        <f>$D$66</f>
        <v/>
      </c>
      <c r="F101" s="123">
        <f>D101*E101</f>
        <v/>
      </c>
    </row>
    <row r="102">
      <c r="C102" s="78" t="inlineStr">
        <is>
          <t>CUSTO MONTAGEM</t>
        </is>
      </c>
      <c r="D102" s="121">
        <f>G38</f>
        <v/>
      </c>
      <c r="E102" s="122">
        <f>$D$72</f>
        <v/>
      </c>
      <c r="F102" s="123">
        <f>D102*E102</f>
        <v/>
      </c>
    </row>
    <row r="103">
      <c r="C103" s="71" t="inlineStr">
        <is>
          <t>CUSTO TOTAL RKW</t>
        </is>
      </c>
      <c r="D103" s="124">
        <f>SUM(F99:F102)</f>
        <v/>
      </c>
    </row>
    <row r="104">
      <c r="C104" s="71" t="inlineStr">
        <is>
          <t>CUSTO TOTAL</t>
        </is>
      </c>
      <c r="D104" s="124">
        <f>(D45+D103)/((100-(E45+F45))/100)</f>
        <v/>
      </c>
    </row>
    <row r="105">
      <c r="C105" s="71" t="inlineStr">
        <is>
          <t>PREÇO DE VENDAS</t>
        </is>
      </c>
      <c r="D105" s="124">
        <f>(D45+D103)/((100-(E45+F45+G45))/100)</f>
        <v/>
      </c>
    </row>
  </sheetData>
  <mergeCells count="14">
    <mergeCell ref="C24:H24"/>
    <mergeCell ref="C2:H2"/>
    <mergeCell ref="K2:M2"/>
    <mergeCell ref="C34:G34"/>
    <mergeCell ref="C62:D62"/>
    <mergeCell ref="C68:D68"/>
    <mergeCell ref="C75:F75"/>
    <mergeCell ref="C87:F87"/>
    <mergeCell ref="C77:F77"/>
    <mergeCell ref="C97:F97"/>
    <mergeCell ref="C41:G41"/>
    <mergeCell ref="C50:D50"/>
    <mergeCell ref="C48:D48"/>
    <mergeCell ref="C56:D5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Usuário do Microsoft Office</dc:creator>
  <dcterms:created xmlns:dcterms="http://purl.org/dc/terms/" xmlns:xsi="http://www.w3.org/2001/XMLSchema-instance" xsi:type="dcterms:W3CDTF">2022-06-02T17:39:38Z</dcterms:created>
  <dcterms:modified xmlns:dcterms="http://purl.org/dc/terms/" xmlns:xsi="http://www.w3.org/2001/XMLSchema-instance" xsi:type="dcterms:W3CDTF">2026-10-28T21:15:19Z</dcterms:modified>
  <cp:lastModifiedBy>José Angelo Ferreira</cp:lastModifiedBy>
  <cp:lastPrinted>2022-12-14T16:32:11Z</cp:lastPrinted>
</cp:coreProperties>
</file>