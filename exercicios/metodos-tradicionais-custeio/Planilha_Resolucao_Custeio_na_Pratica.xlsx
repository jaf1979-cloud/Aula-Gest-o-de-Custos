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rcício 1" sheetId="1" state="visible" r:id="rId3"/>
    <sheet name="Exercício 2" sheetId="2" state="visible" r:id="rId4"/>
    <sheet name="Exercício 3" sheetId="3" state="visible" r:id="rId5"/>
    <sheet name="Exercício 4" sheetId="4" state="visible" r:id="rId6"/>
    <sheet name="Exercício 5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<sst xmlns="http://schemas.openxmlformats.org/spreadsheetml/2006/main" count="362" uniqueCount="159">
  <si>
    <t xml:space="preserve">EXERCÍCIO 1 · Laticínios Serra Verde · Classificação, DRE, pontos de equilíbrio e preço pelo custeio marginal</t>
  </si>
  <si>
    <t xml:space="preserve">a) A classificação está na própria estrutura do DRE: itens do grupo 2 = CVV, grupo 3 = CVP, grupo 6 = CF.</t>
  </si>
  <si>
    <t xml:space="preserve">DEMONSTRATIVO RESULTADOS DO EXERCICIO</t>
  </si>
  <si>
    <t xml:space="preserve">Laticínios Serra Verde Ltda. · março</t>
  </si>
  <si>
    <t xml:space="preserve">DADOS · PONTOS DE EQUILÍBRIO</t>
  </si>
  <si>
    <t xml:space="preserve">DISCRIMINAÇÃO</t>
  </si>
  <si>
    <t xml:space="preserve">VALOR R$</t>
  </si>
  <si>
    <t xml:space="preserve">%</t>
  </si>
  <si>
    <t xml:space="preserve">RECEITA</t>
  </si>
  <si>
    <t xml:space="preserve">MARGEM DE CONTRIBUIÇÃO</t>
  </si>
  <si>
    <t xml:space="preserve">1. Receita Total</t>
  </si>
  <si>
    <t xml:space="preserve">MC %</t>
  </si>
  <si>
    <t xml:space="preserve">CUSTO FIXO</t>
  </si>
  <si>
    <t xml:space="preserve">2. Custos Variáveis de Vendas</t>
  </si>
  <si>
    <t xml:space="preserve">DEPRECIAÇÃO</t>
  </si>
  <si>
    <t xml:space="preserve">ICMS sobre vendas</t>
  </si>
  <si>
    <t xml:space="preserve">ATIVO TOTAL</t>
  </si>
  <si>
    <t xml:space="preserve">PIS/COFINS sobre vendas</t>
  </si>
  <si>
    <t xml:space="preserve">TAXA DE OPORTUNIDADE (a.m.)</t>
  </si>
  <si>
    <t xml:space="preserve">Comissão dos vendedores</t>
  </si>
  <si>
    <t xml:space="preserve">CUSTO DE OPORTUNIDADE = ATIVO × TAXA</t>
  </si>
  <si>
    <t xml:space="preserve">Frete de entrega aos supermercados</t>
  </si>
  <si>
    <t xml:space="preserve">PONTO DE EQUILÍBRIO FINANCEIRO = (CF − Depreciação) ÷ MC%</t>
  </si>
  <si>
    <t xml:space="preserve">3. Custos Variáveis de Produção</t>
  </si>
  <si>
    <t xml:space="preserve">PONTO DE EQUILÍBRIO CONTÁBIL = CF ÷ MC%</t>
  </si>
  <si>
    <t xml:space="preserve">Leite in natura (matéria-prima)</t>
  </si>
  <si>
    <t xml:space="preserve">PONTO DE EQUILÍBRIO ECONÔMICO = (CF + Custo de oportunidade) ÷ MC%</t>
  </si>
  <si>
    <t xml:space="preserve">Embalagens primárias (potes, filmes, rótulos)</t>
  </si>
  <si>
    <t xml:space="preserve">Energia elétrica da fábrica</t>
  </si>
  <si>
    <t xml:space="preserve">MARGEM DE SEGURANÇA = (Receita − PE contábil) ÷ Receita</t>
  </si>
  <si>
    <t xml:space="preserve">Prêmio de produtividade da produção</t>
  </si>
  <si>
    <t xml:space="preserve">Frete sobre compras de leite</t>
  </si>
  <si>
    <t xml:space="preserve">e) DADOS · QUEIJO MINAS FRESCAL</t>
  </si>
  <si>
    <t xml:space="preserve">4. Custos Variáveis Totais</t>
  </si>
  <si>
    <t xml:space="preserve">PRODUTO</t>
  </si>
  <si>
    <t xml:space="preserve">MP</t>
  </si>
  <si>
    <t xml:space="preserve">LUCRO (%)</t>
  </si>
  <si>
    <t xml:space="preserve">Queijo minas frescal (500 g)</t>
  </si>
  <si>
    <t xml:space="preserve">5. Margem de Contribuição</t>
  </si>
  <si>
    <t xml:space="preserve">CUSTEIO MARGINAL</t>
  </si>
  <si>
    <t xml:space="preserve">6. Custos Fixos Totais</t>
  </si>
  <si>
    <t xml:space="preserve">CVV</t>
  </si>
  <si>
    <t xml:space="preserve">CVP</t>
  </si>
  <si>
    <t xml:space="preserve">CF (%)</t>
  </si>
  <si>
    <t xml:space="preserve">CUSTO TOTAL</t>
  </si>
  <si>
    <t xml:space="preserve">LUCRO</t>
  </si>
  <si>
    <t xml:space="preserve">P. VENDA</t>
  </si>
  <si>
    <t xml:space="preserve">Salários da fábrica (mensalistas) + encargos</t>
  </si>
  <si>
    <t xml:space="preserve">Salários da administração + encargos</t>
  </si>
  <si>
    <t xml:space="preserve">CUSTO = MP ÷ [(100 − (CVV+CVP+CF))/100]   ·   PREÇO = MP ÷ [(100 − (CVV+CVP+CF+L))/100]</t>
  </si>
  <si>
    <t xml:space="preserve">Pró-labore dos sócios</t>
  </si>
  <si>
    <t xml:space="preserve">Depreciação de máquinas e câmaras frias</t>
  </si>
  <si>
    <t xml:space="preserve">Aluguel do centro de distribuição</t>
  </si>
  <si>
    <t xml:space="preserve">Seguros</t>
  </si>
  <si>
    <t xml:space="preserve">Telefone e internet</t>
  </si>
  <si>
    <t xml:space="preserve">Honorários contábeis</t>
  </si>
  <si>
    <t xml:space="preserve">Material de expediente</t>
  </si>
  <si>
    <t xml:space="preserve">Manutenção predial (contrato mensal fixo)</t>
  </si>
  <si>
    <t xml:space="preserve">IPTU e taxas municipais</t>
  </si>
  <si>
    <t xml:space="preserve">7. Resultado Operacional</t>
  </si>
  <si>
    <t xml:space="preserve">PERCENTUAIS PARA AS FÓRMULAS (em pontos %)</t>
  </si>
  <si>
    <t xml:space="preserve">CVP sem matéria-prima = CVP% − MP%</t>
  </si>
  <si>
    <t xml:space="preserve">CF (usado só no custeio marginal)</t>
  </si>
  <si>
    <t xml:space="preserve">Margem de contribuição</t>
  </si>
  <si>
    <t xml:space="preserve">EXERCÍCIO 2 · Metalúrgica Ferraço · Preço de venda pelo custeio marginal</t>
  </si>
  <si>
    <t xml:space="preserve">Metalúrgica Ferraço Ltda. · setembro</t>
  </si>
  <si>
    <t xml:space="preserve">DADOS DOS ITENS</t>
  </si>
  <si>
    <t xml:space="preserve">ITEM</t>
  </si>
  <si>
    <t xml:space="preserve">MP (R$/un.)</t>
  </si>
  <si>
    <t xml:space="preserve">Dobradiça 3" (par)</t>
  </si>
  <si>
    <t xml:space="preserve">Fechadura de embutir</t>
  </si>
  <si>
    <t xml:space="preserve">Puxador de inox 30 cm</t>
  </si>
  <si>
    <t xml:space="preserve">Trinco de sobrepor</t>
  </si>
  <si>
    <t xml:space="preserve">Custos variáveis de vendas (impostos, comissões, frete de entrega)</t>
  </si>
  <si>
    <t xml:space="preserve">Matéria-prima (aço, latão, zamac)</t>
  </si>
  <si>
    <t xml:space="preserve">Outros CVP (energia, insumos, frete sobre compras)</t>
  </si>
  <si>
    <t xml:space="preserve">c) PREÇO DO CONCORRENTE · FECHADURA</t>
  </si>
  <si>
    <t xml:space="preserve">Custos fixos</t>
  </si>
  <si>
    <t xml:space="preserve">Preço do concorrente</t>
  </si>
  <si>
    <t xml:space="preserve">MP da fechadura</t>
  </si>
  <si>
    <t xml:space="preserve">MP ÷ Preço (em %)</t>
  </si>
  <si>
    <t xml:space="preserve">Margem obtida L = 100 − (CVV+CVP+CF) − MP/Preço</t>
  </si>
  <si>
    <t xml:space="preserve">d) DIVISOR DO PREÇO COM L = 50%</t>
  </si>
  <si>
    <t xml:space="preserve">(100 − (CVV+CVP+CF+50))/100</t>
  </si>
  <si>
    <t xml:space="preserve">RESPOSTA d)</t>
  </si>
  <si>
    <t xml:space="preserve">Com L = 50% o divisor fica zero e não existe divisão por zero: o preço tenderia ao infinito. CVV + CVP + CF já somam 50% da receita, então a soma com o lucro precisa ficar abaixo de 100%.</t>
  </si>
  <si>
    <t xml:space="preserve">EXERCÍCIO 3 · Móveis Pinheiral · Absorção integral × ideal com produção maior que vendas</t>
  </si>
  <si>
    <t xml:space="preserve">Móveis Pinheiral Ltda. · outubro</t>
  </si>
  <si>
    <t xml:space="preserve">DADOS DOS PRODUTOS</t>
  </si>
  <si>
    <t xml:space="preserve">PRODU-ZIDAS</t>
  </si>
  <si>
    <t xml:space="preserve">VENDI-DAS</t>
  </si>
  <si>
    <t xml:space="preserve">Cômoda 4 gavetas</t>
  </si>
  <si>
    <t xml:space="preserve">Mesa de jantar 6 lugares</t>
  </si>
  <si>
    <t xml:space="preserve">Cadeira estofada</t>
  </si>
  <si>
    <t xml:space="preserve">TOTAL</t>
  </si>
  <si>
    <t xml:space="preserve">Custos variáveis de vendas</t>
  </si>
  <si>
    <t xml:space="preserve">b) CUSTO FIXO UNITÁRIO</t>
  </si>
  <si>
    <t xml:space="preserve">INTEGRAL = CF ÷ Σ itens produzidos</t>
  </si>
  <si>
    <t xml:space="preserve">Matéria-prima</t>
  </si>
  <si>
    <t xml:space="preserve">IDEAL = CF ÷ Σ itens vendidos</t>
  </si>
  <si>
    <t xml:space="preserve">Outros CVP</t>
  </si>
  <si>
    <t xml:space="preserve">CUSTEIO POR ABSORÇÃO INTEGRAL</t>
  </si>
  <si>
    <t xml:space="preserve">CF UNITARIO</t>
  </si>
  <si>
    <t xml:space="preserve">CUSTO = (MP + CF unit.) ÷ [(100 − (CVV+CVP))/100]   ·   PREÇO = (MP + CF unit.) ÷ [(100 − (CVV+CVP+L))/100]</t>
  </si>
  <si>
    <t xml:space="preserve">CUSTEIO POR ABSORÇÃO IDEAL</t>
  </si>
  <si>
    <t xml:space="preserve">COMPARAÇÃO · PREÇO IDEAL × INTEGRAL</t>
  </si>
  <si>
    <t xml:space="preserve">PREÇO INTEGRAL</t>
  </si>
  <si>
    <t xml:space="preserve">PREÇO IDEAL</t>
  </si>
  <si>
    <t xml:space="preserve">DIFERENÇA</t>
  </si>
  <si>
    <t xml:space="preserve">d) CUSTO FIXO QUE FICA NO ESTOQUE (INTEGRAL)</t>
  </si>
  <si>
    <t xml:space="preserve">CF unit. integral × (produzidas − vendidas)</t>
  </si>
  <si>
    <t xml:space="preserve">RESPOSTA e)</t>
  </si>
  <si>
    <t xml:space="preserve">Num mês de formação de estoque, o preço pela absorção IDEAL é o mais prudente: as vendas do mês pagam todo o CF. O integral deixa parte do CF no estoque e só é seguro se o estoque da feira for vendido. Limitação: dividir o CF pela contagem de peças dá à cadeira o mesmo CF por unidade que a mesa (motivação para UEP e ABC).</t>
  </si>
  <si>
    <t xml:space="preserve">EXERCÍCIO 4 · Confecções Vale do Itajaí · Os três métodos lado a lado</t>
  </si>
  <si>
    <t xml:space="preserve">Confecções Vale do Itajaí Ltda. · agosto</t>
  </si>
  <si>
    <t xml:space="preserve">Camiseta básica</t>
  </si>
  <si>
    <t xml:space="preserve">Calça jeans</t>
  </si>
  <si>
    <t xml:space="preserve">Jaqueta jeans</t>
  </si>
  <si>
    <t xml:space="preserve">Vestido midi</t>
  </si>
  <si>
    <t xml:space="preserve">Comissão dos representantes</t>
  </si>
  <si>
    <t xml:space="preserve">Bermuda sarja</t>
  </si>
  <si>
    <t xml:space="preserve">Frete de entrega</t>
  </si>
  <si>
    <t xml:space="preserve">Impostos sobre a venda</t>
  </si>
  <si>
    <t xml:space="preserve">CUSTO FIXO UNITÁRIO</t>
  </si>
  <si>
    <t xml:space="preserve">Tecido e aviamentos (matéria-prima)</t>
  </si>
  <si>
    <t xml:space="preserve">Linhas, etiquetas e embalagens</t>
  </si>
  <si>
    <t xml:space="preserve">Salário da produção (mensalistas)</t>
  </si>
  <si>
    <t xml:space="preserve">Salário da administração</t>
  </si>
  <si>
    <t xml:space="preserve">Depreciação</t>
  </si>
  <si>
    <t xml:space="preserve">Aluguel do galpão</t>
  </si>
  <si>
    <t xml:space="preserve">Outras despesas fixas</t>
  </si>
  <si>
    <t xml:space="preserve">c) COMPARAÇÃO DOS PREÇOS</t>
  </si>
  <si>
    <t xml:space="preserve">MARGINAL</t>
  </si>
  <si>
    <t xml:space="preserve">INTEGRAL</t>
  </si>
  <si>
    <t xml:space="preserve">IDEAL</t>
  </si>
  <si>
    <t xml:space="preserve">MAIOR ÷ MENOR</t>
  </si>
  <si>
    <t xml:space="preserve">MP EM QUE CUSTO MARGINAL = CUSTO INTEGRAL</t>
  </si>
  <si>
    <t xml:space="preserve">Divisor marginal (100 − (CVV+CVP+CF))/100</t>
  </si>
  <si>
    <t xml:space="preserve">Divisor absorção (100 − (CVV+CVP))/100</t>
  </si>
  <si>
    <t xml:space="preserve">MP de virada = CFu × Div.marg ÷ (Div.abs − Div.marg)</t>
  </si>
  <si>
    <t xml:space="preserve">RESPOSTA c)</t>
  </si>
  <si>
    <t xml:space="preserve">O marginal dá o maior preço para calça, jaqueta, vestido e bermuda (MP acima de R$ 17,92) e o menor para a camiseta. No marginal o CF é distribuído em proporção à MP; na absorção, todas as peças recebem o mesmo CF em reais.</t>
  </si>
  <si>
    <t xml:space="preserve">EXERCÍCIO 5 · Polimix Embalagens · Preço, mercado e a espiral da morte</t>
  </si>
  <si>
    <t xml:space="preserve">Polimix Embalagens Plásticas Ltda. · julho</t>
  </si>
  <si>
    <t xml:space="preserve">Resina PP (matéria-prima)</t>
  </si>
  <si>
    <t xml:space="preserve">PREÇO DE MERCADO</t>
  </si>
  <si>
    <t xml:space="preserve">Balde 20 L</t>
  </si>
  <si>
    <t xml:space="preserve">Depreciação das injetoras</t>
  </si>
  <si>
    <t xml:space="preserve">Bombona 50 L</t>
  </si>
  <si>
    <t xml:space="preserve">Outros custos fixos</t>
  </si>
  <si>
    <t xml:space="preserve">Caixa organizadora 30 L</t>
  </si>
  <si>
    <t xml:space="preserve">c) COMPARAÇÃO COM O MERCADO</t>
  </si>
  <si>
    <t xml:space="preserve">MERCADO</t>
  </si>
  <si>
    <t xml:space="preserve">MERCADO ÷ IDEAL</t>
  </si>
  <si>
    <t xml:space="preserve">d) QUEDA NAS VENDAS · NOVO PREÇO PELA ABSORÇÃO IDEAL</t>
  </si>
  <si>
    <t xml:space="preserve">NOVAS VENDAS</t>
  </si>
  <si>
    <t xml:space="preserve">SITUAÇÃO</t>
  </si>
  <si>
    <t xml:space="preserve">Novo CF unit. ideal = CF ÷ novas vendas</t>
  </si>
  <si>
    <t xml:space="preserve">Não repassar o aumento: o CF existe com ou sem a venda. Subir o preço reduz o volume, eleva o CF unitário e alimenta a espiral da morte. Enquanto o preço de mercado deixar margem de contribuição, vale manter o preço e buscar volume.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</si>
</sst>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_-&quot;R$&quot;* #,##0.00_-;&quot;-R$&quot;* #,##0.00_-;_-&quot;R$&quot;* \-??_-;_-@"/>
    <numFmt numFmtId="166" formatCode="0.0%"/>
    <numFmt numFmtId="167" formatCode="0.00%"/>
    <numFmt numFmtId="168" formatCode="0.00"/>
    <numFmt numFmtId="169" formatCode="0"/>
    <numFmt numFmtId="170" formatCode="#,##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4"/>
      <color rgb="FFF2F2F2"/>
      <name val="Arial"/>
      <family val="0"/>
      <charset val="1"/>
    </font>
    <font>
      <b val="true"/>
      <i val="true"/>
      <sz val="11"/>
      <name val="Arial"/>
      <family val="0"/>
      <charset val="1"/>
    </font>
    <font>
      <b val="true"/>
      <sz val="13"/>
      <color rgb="FFFFFFFF"/>
      <name val="Calibri"/>
      <family val="0"/>
      <charset val="1"/>
    </font>
    <font>
      <b val="true"/>
      <sz val="11"/>
      <color rgb="FFF2F2F2"/>
      <name val="Arial"/>
      <family val="0"/>
      <charset val="1"/>
    </font>
    <font>
      <b val="true"/>
      <sz val="12"/>
      <name val="Calibri"/>
      <family val="0"/>
      <charset val="1"/>
    </font>
    <font>
      <sz val="12"/>
      <name val="Calibri"/>
      <family val="0"/>
      <charset val="1"/>
    </font>
    <font>
      <sz val="11"/>
      <name val="Arial"/>
      <family val="0"/>
      <charset val="1"/>
    </font>
    <font>
      <sz val="11"/>
      <name val="Calibri"/>
      <family val="0"/>
      <charset val="1"/>
    </font>
    <font>
      <b val="true"/>
      <sz val="11"/>
      <name val="Calibri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2"/>
      <color rgb="FFFF0000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00B0F0"/>
        <bgColor rgb="FF33CCCC"/>
      </patternFill>
    </fill>
    <fill>
      <patternFill patternType="solid">
        <fgColor rgb="FF00B050"/>
        <bgColor rgb="FF008080"/>
      </patternFill>
    </fill>
    <fill>
      <patternFill patternType="solid">
        <fgColor rgb="FF4472C4"/>
        <bgColor rgb="FF0066CC"/>
      </patternFill>
    </fill>
    <fill>
      <patternFill patternType="solid">
        <fgColor rgb="FFB4C6E7"/>
        <bgColor rgb="FFCCCCFF"/>
      </patternFill>
    </fill>
    <fill>
      <patternFill patternType="solid">
        <fgColor rgb="FF385623"/>
        <bgColor rgb="FF595959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thin"/>
      <top style="thin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00B050"/>
      <rgbColor rgb="FF003300"/>
      <rgbColor rgb="FF333300"/>
      <rgbColor rgb="FF993300"/>
      <rgbColor rgb="FF993366"/>
      <rgbColor rgb="FF333399"/>
      <rgbColor rgb="FF38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O47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2"/>
    <col collapsed="false" customWidth="true" hidden="false" outlineLevel="0" max="3" min="3" style="0" width="19"/>
    <col collapsed="false" customWidth="true" hidden="false" outlineLevel="0" max="4" min="4" style="0" width="10"/>
    <col collapsed="false" customWidth="true" hidden="false" outlineLevel="0" max="7" min="5" style="0" width="3"/>
    <col collapsed="false" customWidth="true" hidden="false" outlineLevel="0" max="8" min="8" style="0" width="34"/>
    <col collapsed="false" customWidth="true" hidden="false" outlineLevel="0" max="9" min="9" style="0" width="14"/>
    <col collapsed="false" customWidth="true" hidden="false" outlineLevel="0" max="10" min="10" style="0" width="18"/>
    <col collapsed="false" customWidth="true" hidden="false" outlineLevel="0" max="13" min="11" style="0" width="16"/>
    <col collapsed="false" customWidth="true" hidden="false" outlineLevel="0" max="14" min="14" style="0" width="10"/>
    <col collapsed="false" customWidth="true" hidden="false" outlineLevel="0" max="15" min="15" style="0" width="17"/>
  </cols>
  <sheetData>
    <row r="2" customFormat="false" ht="15" hidden="false" customHeight="fals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customFormat="false" ht="15" hidden="false" customHeight="false" outlineLevel="0" collapsed="false">
      <c r="B3" s="2" t="s">
        <v>1</v>
      </c>
    </row>
    <row r="4" customFormat="false" ht="17.35" hidden="false" customHeight="false" outlineLevel="0" collapsed="false">
      <c r="B4" s="3" t="s">
        <v>2</v>
      </c>
      <c r="C4" s="3"/>
      <c r="D4" s="3"/>
    </row>
    <row r="5" customFormat="false" ht="16.15" hidden="false" customHeight="false" outlineLevel="0" collapsed="false">
      <c r="B5" s="4" t="s">
        <v>3</v>
      </c>
      <c r="C5" s="4"/>
      <c r="D5" s="4"/>
      <c r="H5" s="5" t="s">
        <v>4</v>
      </c>
      <c r="I5" s="5"/>
      <c r="J5" s="5"/>
    </row>
    <row r="6" customFormat="false" ht="15" hidden="false" customHeight="false" outlineLevel="0" collapsed="false">
      <c r="B6" s="6" t="s">
        <v>5</v>
      </c>
      <c r="C6" s="6" t="s">
        <v>6</v>
      </c>
      <c r="D6" s="7" t="s">
        <v>7</v>
      </c>
      <c r="H6" s="8" t="s">
        <v>8</v>
      </c>
      <c r="I6" s="8"/>
      <c r="J6" s="9" t="n">
        <f aca="false">C8</f>
        <v>480000</v>
      </c>
    </row>
    <row r="7" customFormat="false" ht="15" hidden="false" customHeight="false" outlineLevel="0" collapsed="false">
      <c r="H7" s="8" t="s">
        <v>9</v>
      </c>
      <c r="I7" s="8"/>
      <c r="J7" s="9" t="n">
        <f aca="false">C25</f>
        <v>168000</v>
      </c>
    </row>
    <row r="8" customFormat="false" ht="15" hidden="false" customHeight="false" outlineLevel="0" collapsed="false">
      <c r="B8" s="10" t="s">
        <v>10</v>
      </c>
      <c r="C8" s="11" t="n">
        <v>480000</v>
      </c>
      <c r="D8" s="12" t="n">
        <f aca="false">C8/$C$8</f>
        <v>1</v>
      </c>
      <c r="H8" s="8" t="s">
        <v>11</v>
      </c>
      <c r="I8" s="8"/>
      <c r="J8" s="13" t="n">
        <f aca="false">D25</f>
        <v>0.35</v>
      </c>
    </row>
    <row r="9" customFormat="false" ht="15" hidden="false" customHeight="false" outlineLevel="0" collapsed="false">
      <c r="H9" s="8" t="s">
        <v>12</v>
      </c>
      <c r="I9" s="8"/>
      <c r="J9" s="9" t="n">
        <f aca="false">C27</f>
        <v>108000</v>
      </c>
    </row>
    <row r="10" customFormat="false" ht="15" hidden="false" customHeight="false" outlineLevel="0" collapsed="false">
      <c r="B10" s="10" t="s">
        <v>13</v>
      </c>
      <c r="C10" s="11" t="n">
        <f aca="false">SUM(C11:C14)</f>
        <v>96000</v>
      </c>
      <c r="D10" s="12" t="n">
        <f aca="false">C10/$C$8</f>
        <v>0.2</v>
      </c>
      <c r="H10" s="8" t="s">
        <v>14</v>
      </c>
      <c r="I10" s="8"/>
      <c r="J10" s="9" t="n">
        <f aca="false">C31</f>
        <v>12000</v>
      </c>
    </row>
    <row r="11" customFormat="false" ht="15" hidden="false" customHeight="false" outlineLevel="0" collapsed="false">
      <c r="B11" s="14" t="s">
        <v>15</v>
      </c>
      <c r="C11" s="15" t="n">
        <v>57600</v>
      </c>
      <c r="D11" s="16" t="n">
        <f aca="false">C11/$C$8</f>
        <v>0.12</v>
      </c>
      <c r="H11" s="8" t="s">
        <v>16</v>
      </c>
      <c r="I11" s="8"/>
      <c r="J11" s="9" t="n">
        <v>1800000</v>
      </c>
    </row>
    <row r="12" customFormat="false" ht="15" hidden="false" customHeight="false" outlineLevel="0" collapsed="false">
      <c r="B12" s="14" t="s">
        <v>17</v>
      </c>
      <c r="C12" s="15" t="n">
        <v>14400</v>
      </c>
      <c r="D12" s="16" t="n">
        <f aca="false">C12/$C$8</f>
        <v>0.03</v>
      </c>
      <c r="H12" s="8" t="s">
        <v>18</v>
      </c>
      <c r="I12" s="8"/>
      <c r="J12" s="13" t="n">
        <v>0.015</v>
      </c>
    </row>
    <row r="13" customFormat="false" ht="15" hidden="false" customHeight="false" outlineLevel="0" collapsed="false">
      <c r="B13" s="14" t="s">
        <v>19</v>
      </c>
      <c r="C13" s="15" t="n">
        <v>14400</v>
      </c>
      <c r="D13" s="16" t="n">
        <f aca="false">C13/$C$8</f>
        <v>0.03</v>
      </c>
      <c r="H13" s="8" t="s">
        <v>20</v>
      </c>
      <c r="I13" s="8"/>
      <c r="J13" s="9" t="n">
        <f aca="false">J11*J12</f>
        <v>27000</v>
      </c>
    </row>
    <row r="14" customFormat="false" ht="15" hidden="false" customHeight="false" outlineLevel="0" collapsed="false">
      <c r="B14" s="14" t="s">
        <v>21</v>
      </c>
      <c r="C14" s="15" t="n">
        <v>9600</v>
      </c>
      <c r="D14" s="16" t="n">
        <f aca="false">C14/$C$8</f>
        <v>0.02</v>
      </c>
    </row>
    <row r="15" customFormat="false" ht="31.5" hidden="false" customHeight="true" outlineLevel="0" collapsed="false">
      <c r="H15" s="17" t="s">
        <v>22</v>
      </c>
      <c r="I15" s="17"/>
      <c r="J15" s="18" t="n">
        <f aca="false">(J9-J10)/J8</f>
        <v>274285.714285714</v>
      </c>
    </row>
    <row r="16" customFormat="false" ht="31.5" hidden="false" customHeight="true" outlineLevel="0" collapsed="false">
      <c r="B16" s="10" t="s">
        <v>23</v>
      </c>
      <c r="C16" s="11" t="n">
        <f aca="false">SUM(C17:C21)</f>
        <v>216000</v>
      </c>
      <c r="D16" s="12" t="n">
        <f aca="false">C16/$C$8</f>
        <v>0.45</v>
      </c>
      <c r="H16" s="17" t="s">
        <v>24</v>
      </c>
      <c r="I16" s="17"/>
      <c r="J16" s="18" t="n">
        <f aca="false">J9/J8</f>
        <v>308571.428571429</v>
      </c>
    </row>
    <row r="17" customFormat="false" ht="31.5" hidden="false" customHeight="true" outlineLevel="0" collapsed="false">
      <c r="B17" s="14" t="s">
        <v>25</v>
      </c>
      <c r="C17" s="15" t="n">
        <v>168000</v>
      </c>
      <c r="D17" s="16" t="n">
        <f aca="false">C17/$C$8</f>
        <v>0.35</v>
      </c>
      <c r="H17" s="17" t="s">
        <v>26</v>
      </c>
      <c r="I17" s="17"/>
      <c r="J17" s="18" t="n">
        <f aca="false">(J9+J13)/J8</f>
        <v>385714.285714286</v>
      </c>
    </row>
    <row r="18" customFormat="false" ht="15" hidden="false" customHeight="false" outlineLevel="0" collapsed="false">
      <c r="B18" s="14" t="s">
        <v>27</v>
      </c>
      <c r="C18" s="15" t="n">
        <v>19200</v>
      </c>
      <c r="D18" s="16" t="n">
        <f aca="false">C18/$C$8</f>
        <v>0.04</v>
      </c>
    </row>
    <row r="19" customFormat="false" ht="31.5" hidden="false" customHeight="true" outlineLevel="0" collapsed="false">
      <c r="B19" s="14" t="s">
        <v>28</v>
      </c>
      <c r="C19" s="15" t="n">
        <v>14400</v>
      </c>
      <c r="D19" s="16" t="n">
        <f aca="false">C19/$C$8</f>
        <v>0.03</v>
      </c>
      <c r="H19" s="17" t="s">
        <v>29</v>
      </c>
      <c r="I19" s="17"/>
      <c r="J19" s="19" t="n">
        <f aca="false">(J6-J16)/J6</f>
        <v>0.357142857142857</v>
      </c>
    </row>
    <row r="20" customFormat="false" ht="15" hidden="false" customHeight="false" outlineLevel="0" collapsed="false">
      <c r="B20" s="14" t="s">
        <v>30</v>
      </c>
      <c r="C20" s="15" t="n">
        <v>4800</v>
      </c>
      <c r="D20" s="16" t="n">
        <f aca="false">C20/$C$8</f>
        <v>0.01</v>
      </c>
    </row>
    <row r="21" customFormat="false" ht="15" hidden="false" customHeight="false" outlineLevel="0" collapsed="false">
      <c r="B21" s="14" t="s">
        <v>31</v>
      </c>
      <c r="C21" s="15" t="n">
        <v>9600</v>
      </c>
      <c r="D21" s="16" t="n">
        <f aca="false">C21/$C$8</f>
        <v>0.02</v>
      </c>
    </row>
    <row r="22" customFormat="false" ht="16.15" hidden="false" customHeight="false" outlineLevel="0" collapsed="false">
      <c r="H22" s="5" t="s">
        <v>32</v>
      </c>
      <c r="I22" s="5"/>
      <c r="J22" s="5"/>
      <c r="K22" s="5"/>
      <c r="L22" s="5"/>
    </row>
    <row r="23" customFormat="false" ht="30" hidden="false" customHeight="true" outlineLevel="0" collapsed="false">
      <c r="B23" s="10" t="s">
        <v>33</v>
      </c>
      <c r="C23" s="11" t="n">
        <f aca="false">C10+C16</f>
        <v>312000</v>
      </c>
      <c r="D23" s="12" t="n">
        <f aca="false">C23/$C$8</f>
        <v>0.65</v>
      </c>
      <c r="H23" s="20" t="s">
        <v>34</v>
      </c>
      <c r="I23" s="20" t="s">
        <v>35</v>
      </c>
      <c r="J23" s="20"/>
      <c r="K23" s="20"/>
      <c r="L23" s="20" t="s">
        <v>36</v>
      </c>
    </row>
    <row r="24" customFormat="false" ht="15" hidden="false" customHeight="false" outlineLevel="0" collapsed="false">
      <c r="H24" s="21" t="s">
        <v>37</v>
      </c>
      <c r="I24" s="22" t="n">
        <v>9.8</v>
      </c>
      <c r="J24" s="23"/>
      <c r="K24" s="23"/>
      <c r="L24" s="24" t="n">
        <v>10</v>
      </c>
    </row>
    <row r="25" customFormat="false" ht="15" hidden="false" customHeight="false" outlineLevel="0" collapsed="false">
      <c r="B25" s="10" t="s">
        <v>38</v>
      </c>
      <c r="C25" s="11" t="n">
        <f aca="false">C8-C23</f>
        <v>168000</v>
      </c>
      <c r="D25" s="12" t="n">
        <f aca="false">C25/$C$8</f>
        <v>0.35</v>
      </c>
    </row>
    <row r="26" customFormat="false" ht="16.15" hidden="false" customHeight="false" outlineLevel="0" collapsed="false">
      <c r="H26" s="25" t="s">
        <v>39</v>
      </c>
      <c r="I26" s="25"/>
      <c r="J26" s="25"/>
      <c r="K26" s="25"/>
      <c r="L26" s="25"/>
      <c r="M26" s="25"/>
      <c r="N26" s="25"/>
      <c r="O26" s="25"/>
    </row>
    <row r="27" customFormat="false" ht="30" hidden="false" customHeight="true" outlineLevel="0" collapsed="false">
      <c r="B27" s="10" t="s">
        <v>40</v>
      </c>
      <c r="C27" s="11" t="n">
        <f aca="false">SUM(C28:C38)</f>
        <v>108000</v>
      </c>
      <c r="D27" s="12" t="n">
        <f aca="false">C27/$C$8</f>
        <v>0.225</v>
      </c>
      <c r="H27" s="20" t="s">
        <v>34</v>
      </c>
      <c r="I27" s="20" t="s">
        <v>35</v>
      </c>
      <c r="J27" s="20" t="s">
        <v>41</v>
      </c>
      <c r="K27" s="20" t="s">
        <v>42</v>
      </c>
      <c r="L27" s="20" t="s">
        <v>43</v>
      </c>
      <c r="M27" s="20" t="s">
        <v>44</v>
      </c>
      <c r="N27" s="20" t="s">
        <v>45</v>
      </c>
      <c r="O27" s="20" t="s">
        <v>46</v>
      </c>
    </row>
    <row r="28" customFormat="false" ht="15" hidden="false" customHeight="false" outlineLevel="0" collapsed="false">
      <c r="B28" s="14" t="s">
        <v>47</v>
      </c>
      <c r="C28" s="15" t="n">
        <v>38000</v>
      </c>
      <c r="D28" s="16" t="n">
        <f aca="false">C28/$C$8</f>
        <v>0.0791666666666667</v>
      </c>
      <c r="H28" s="21" t="str">
        <f aca="false">H24</f>
        <v>Queijo minas frescal (500 g)</v>
      </c>
      <c r="I28" s="22" t="n">
        <f aca="false">I24</f>
        <v>9.8</v>
      </c>
      <c r="J28" s="22" t="n">
        <f aca="false">$C$45</f>
        <v>20</v>
      </c>
      <c r="K28" s="22" t="n">
        <f aca="false">$C$44</f>
        <v>10</v>
      </c>
      <c r="L28" s="22" t="n">
        <f aca="false">$C$46</f>
        <v>22.5</v>
      </c>
      <c r="M28" s="9" t="n">
        <f aca="false">I28/((100-(J28+K28+L28))/100)</f>
        <v>20.6315789473684</v>
      </c>
      <c r="N28" s="24" t="n">
        <f aca="false">L24</f>
        <v>10</v>
      </c>
      <c r="O28" s="26" t="n">
        <f aca="false">I28/((100-(J28+K28+L28+N28))/100)</f>
        <v>26.1333333333333</v>
      </c>
    </row>
    <row r="29" customFormat="false" ht="15" hidden="false" customHeight="false" outlineLevel="0" collapsed="false">
      <c r="B29" s="14" t="s">
        <v>48</v>
      </c>
      <c r="C29" s="15" t="n">
        <v>22000</v>
      </c>
      <c r="D29" s="16" t="n">
        <f aca="false">C29/$C$8</f>
        <v>0.0458333333333333</v>
      </c>
      <c r="H29" s="27" t="s">
        <v>49</v>
      </c>
    </row>
    <row r="30" customFormat="false" ht="15" hidden="false" customHeight="false" outlineLevel="0" collapsed="false">
      <c r="B30" s="14" t="s">
        <v>50</v>
      </c>
      <c r="C30" s="15" t="n">
        <v>17000</v>
      </c>
      <c r="D30" s="16" t="n">
        <f aca="false">C30/$C$8</f>
        <v>0.0354166666666667</v>
      </c>
    </row>
    <row r="31" customFormat="false" ht="15" hidden="false" customHeight="false" outlineLevel="0" collapsed="false">
      <c r="B31" s="14" t="s">
        <v>51</v>
      </c>
      <c r="C31" s="15" t="n">
        <v>12000</v>
      </c>
      <c r="D31" s="16" t="n">
        <f aca="false">C31/$C$8</f>
        <v>0.025</v>
      </c>
    </row>
    <row r="32" customFormat="false" ht="15" hidden="false" customHeight="false" outlineLevel="0" collapsed="false">
      <c r="B32" s="14" t="s">
        <v>52</v>
      </c>
      <c r="C32" s="15" t="n">
        <v>8000</v>
      </c>
      <c r="D32" s="16" t="n">
        <f aca="false">C32/$C$8</f>
        <v>0.0166666666666667</v>
      </c>
    </row>
    <row r="33" customFormat="false" ht="15" hidden="false" customHeight="false" outlineLevel="0" collapsed="false">
      <c r="B33" s="14" t="s">
        <v>53</v>
      </c>
      <c r="C33" s="15" t="n">
        <v>2400</v>
      </c>
      <c r="D33" s="16" t="n">
        <f aca="false">C33/$C$8</f>
        <v>0.005</v>
      </c>
    </row>
    <row r="34" customFormat="false" ht="15" hidden="false" customHeight="false" outlineLevel="0" collapsed="false">
      <c r="B34" s="14" t="s">
        <v>54</v>
      </c>
      <c r="C34" s="15" t="n">
        <v>1600</v>
      </c>
      <c r="D34" s="16" t="n">
        <f aca="false">C34/$C$8</f>
        <v>0.00333333333333333</v>
      </c>
    </row>
    <row r="35" customFormat="false" ht="15" hidden="false" customHeight="false" outlineLevel="0" collapsed="false">
      <c r="B35" s="14" t="s">
        <v>55</v>
      </c>
      <c r="C35" s="15" t="n">
        <v>3000</v>
      </c>
      <c r="D35" s="16" t="n">
        <f aca="false">C35/$C$8</f>
        <v>0.00625</v>
      </c>
    </row>
    <row r="36" customFormat="false" ht="15" hidden="false" customHeight="false" outlineLevel="0" collapsed="false">
      <c r="B36" s="14" t="s">
        <v>56</v>
      </c>
      <c r="C36" s="15" t="n">
        <v>500</v>
      </c>
      <c r="D36" s="16" t="n">
        <f aca="false">C36/$C$8</f>
        <v>0.00104166666666667</v>
      </c>
    </row>
    <row r="37" customFormat="false" ht="15" hidden="false" customHeight="false" outlineLevel="0" collapsed="false">
      <c r="B37" s="14" t="s">
        <v>57</v>
      </c>
      <c r="C37" s="15" t="n">
        <v>2500</v>
      </c>
      <c r="D37" s="16" t="n">
        <f aca="false">C37/$C$8</f>
        <v>0.00520833333333333</v>
      </c>
    </row>
    <row r="38" customFormat="false" ht="15" hidden="false" customHeight="false" outlineLevel="0" collapsed="false">
      <c r="B38" s="14" t="s">
        <v>58</v>
      </c>
      <c r="C38" s="15" t="n">
        <v>1000</v>
      </c>
      <c r="D38" s="16" t="n">
        <f aca="false">C38/$C$8</f>
        <v>0.00208333333333333</v>
      </c>
    </row>
    <row r="40" customFormat="false" ht="15" hidden="false" customHeight="false" outlineLevel="0" collapsed="false">
      <c r="B40" s="28" t="s">
        <v>59</v>
      </c>
      <c r="C40" s="11" t="n">
        <f aca="false">C25-C27</f>
        <v>60000</v>
      </c>
      <c r="D40" s="12" t="n">
        <f aca="false">C40/$C$8</f>
        <v>0.125</v>
      </c>
    </row>
    <row r="43" customFormat="false" ht="15" hidden="false" customHeight="false" outlineLevel="0" collapsed="false">
      <c r="B43" s="29" t="s">
        <v>60</v>
      </c>
      <c r="C43" s="29"/>
    </row>
    <row r="44" customFormat="false" ht="15" hidden="false" customHeight="false" outlineLevel="0" collapsed="false">
      <c r="B44" s="14" t="s">
        <v>61</v>
      </c>
      <c r="C44" s="22" t="n">
        <f aca="false">(D16-D17)*100</f>
        <v>10</v>
      </c>
    </row>
    <row r="45" customFormat="false" ht="15" hidden="false" customHeight="false" outlineLevel="0" collapsed="false">
      <c r="B45" s="14" t="s">
        <v>41</v>
      </c>
      <c r="C45" s="22" t="n">
        <f aca="false">D10*100</f>
        <v>20</v>
      </c>
    </row>
    <row r="46" customFormat="false" ht="15" hidden="false" customHeight="false" outlineLevel="0" collapsed="false">
      <c r="B46" s="14" t="s">
        <v>62</v>
      </c>
      <c r="C46" s="22" t="n">
        <f aca="false">D27*100</f>
        <v>22.5</v>
      </c>
    </row>
    <row r="47" customFormat="false" ht="15" hidden="false" customHeight="false" outlineLevel="0" collapsed="false">
      <c r="B47" s="14" t="s">
        <v>63</v>
      </c>
      <c r="C47" s="22" t="n">
        <f aca="false">D25*100</f>
        <v>35</v>
      </c>
    </row>
  </sheetData>
  <mergeCells count="19">
    <mergeCell ref="B2:O2"/>
    <mergeCell ref="B4:D4"/>
    <mergeCell ref="B5:D5"/>
    <mergeCell ref="H5:J5"/>
    <mergeCell ref="H6:I6"/>
    <mergeCell ref="H7:I7"/>
    <mergeCell ref="H8:I8"/>
    <mergeCell ref="H9:I9"/>
    <mergeCell ref="H10:I10"/>
    <mergeCell ref="H11:I11"/>
    <mergeCell ref="H12:I12"/>
    <mergeCell ref="H13:I13"/>
    <mergeCell ref="H15:I15"/>
    <mergeCell ref="H16:I16"/>
    <mergeCell ref="H17:I17"/>
    <mergeCell ref="H19:I19"/>
    <mergeCell ref="H22:L22"/>
    <mergeCell ref="H26:O26"/>
    <mergeCell ref="B43:C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O31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2"/>
    <col collapsed="false" customWidth="true" hidden="false" outlineLevel="0" max="3" min="3" style="0" width="19"/>
    <col collapsed="false" customWidth="true" hidden="false" outlineLevel="0" max="4" min="4" style="0" width="10"/>
    <col collapsed="false" customWidth="true" hidden="false" outlineLevel="0" max="7" min="5" style="0" width="3"/>
    <col collapsed="false" customWidth="true" hidden="false" outlineLevel="0" max="8" min="8" style="0" width="34"/>
    <col collapsed="false" customWidth="true" hidden="false" outlineLevel="0" max="9" min="9" style="0" width="14"/>
    <col collapsed="false" customWidth="true" hidden="false" outlineLevel="0" max="10" min="10" style="0" width="18"/>
    <col collapsed="false" customWidth="true" hidden="false" outlineLevel="0" max="13" min="11" style="0" width="16"/>
    <col collapsed="false" customWidth="true" hidden="false" outlineLevel="0" max="14" min="14" style="0" width="10"/>
    <col collapsed="false" customWidth="true" hidden="false" outlineLevel="0" max="15" min="15" style="0" width="17"/>
  </cols>
  <sheetData>
    <row r="2" customFormat="false" ht="15" hidden="false" customHeight="false" outlineLevel="0" collapsed="false">
      <c r="B2" s="1" t="s">
        <v>64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4" customFormat="false" ht="17.35" hidden="false" customHeight="false" outlineLevel="0" collapsed="false">
      <c r="B4" s="3" t="s">
        <v>2</v>
      </c>
      <c r="C4" s="3"/>
      <c r="D4" s="3"/>
    </row>
    <row r="5" customFormat="false" ht="16.15" hidden="false" customHeight="false" outlineLevel="0" collapsed="false">
      <c r="B5" s="4" t="s">
        <v>65</v>
      </c>
      <c r="C5" s="4"/>
      <c r="D5" s="4"/>
      <c r="H5" s="5" t="s">
        <v>66</v>
      </c>
      <c r="I5" s="5"/>
      <c r="J5" s="5"/>
      <c r="K5" s="5"/>
      <c r="L5" s="5"/>
    </row>
    <row r="6" customFormat="false" ht="30" hidden="false" customHeight="true" outlineLevel="0" collapsed="false">
      <c r="B6" s="6" t="s">
        <v>5</v>
      </c>
      <c r="C6" s="6" t="s">
        <v>6</v>
      </c>
      <c r="D6" s="7" t="s">
        <v>7</v>
      </c>
      <c r="H6" s="20" t="s">
        <v>67</v>
      </c>
      <c r="I6" s="20" t="s">
        <v>68</v>
      </c>
      <c r="J6" s="20"/>
      <c r="K6" s="20"/>
      <c r="L6" s="20" t="s">
        <v>36</v>
      </c>
    </row>
    <row r="7" customFormat="false" ht="15" hidden="false" customHeight="false" outlineLevel="0" collapsed="false">
      <c r="H7" s="21" t="s">
        <v>69</v>
      </c>
      <c r="I7" s="22" t="n">
        <v>8.4</v>
      </c>
      <c r="J7" s="23"/>
      <c r="K7" s="23"/>
      <c r="L7" s="24" t="n">
        <v>10</v>
      </c>
    </row>
    <row r="8" customFormat="false" ht="15" hidden="false" customHeight="false" outlineLevel="0" collapsed="false">
      <c r="B8" s="10" t="s">
        <v>10</v>
      </c>
      <c r="C8" s="11" t="n">
        <v>350000</v>
      </c>
      <c r="D8" s="12" t="n">
        <f aca="false">C8/$C$8</f>
        <v>1</v>
      </c>
      <c r="H8" s="21" t="s">
        <v>70</v>
      </c>
      <c r="I8" s="22" t="n">
        <v>46.5</v>
      </c>
      <c r="J8" s="23"/>
      <c r="K8" s="23"/>
      <c r="L8" s="24" t="n">
        <v>15</v>
      </c>
    </row>
    <row r="9" customFormat="false" ht="15" hidden="false" customHeight="false" outlineLevel="0" collapsed="false">
      <c r="H9" s="21" t="s">
        <v>71</v>
      </c>
      <c r="I9" s="22" t="n">
        <v>12.9</v>
      </c>
      <c r="J9" s="23"/>
      <c r="K9" s="23"/>
      <c r="L9" s="24" t="n">
        <v>8</v>
      </c>
    </row>
    <row r="10" customFormat="false" ht="15" hidden="false" customHeight="false" outlineLevel="0" collapsed="false">
      <c r="B10" s="10" t="s">
        <v>13</v>
      </c>
      <c r="C10" s="11" t="n">
        <f aca="false">SUM(C11:C11)</f>
        <v>63000</v>
      </c>
      <c r="D10" s="12" t="n">
        <f aca="false">C10/$C$8</f>
        <v>0.18</v>
      </c>
      <c r="H10" s="21" t="s">
        <v>72</v>
      </c>
      <c r="I10" s="22" t="n">
        <v>5.6</v>
      </c>
      <c r="J10" s="23"/>
      <c r="K10" s="23"/>
      <c r="L10" s="24" t="n">
        <v>20</v>
      </c>
    </row>
    <row r="11" customFormat="false" ht="15" hidden="false" customHeight="false" outlineLevel="0" collapsed="false">
      <c r="B11" s="14" t="s">
        <v>73</v>
      </c>
      <c r="C11" s="15" t="n">
        <v>63000</v>
      </c>
      <c r="D11" s="16" t="n">
        <f aca="false">C11/$C$8</f>
        <v>0.18</v>
      </c>
    </row>
    <row r="13" customFormat="false" ht="16.15" hidden="false" customHeight="false" outlineLevel="0" collapsed="false">
      <c r="B13" s="10" t="s">
        <v>23</v>
      </c>
      <c r="C13" s="11" t="n">
        <f aca="false">SUM(C14:C15)</f>
        <v>140000</v>
      </c>
      <c r="D13" s="12" t="n">
        <f aca="false">C13/$C$8</f>
        <v>0.4</v>
      </c>
      <c r="H13" s="25" t="s">
        <v>39</v>
      </c>
      <c r="I13" s="25"/>
      <c r="J13" s="25"/>
      <c r="K13" s="25"/>
      <c r="L13" s="25"/>
      <c r="M13" s="25"/>
      <c r="N13" s="25"/>
      <c r="O13" s="25"/>
    </row>
    <row r="14" customFormat="false" ht="30" hidden="false" customHeight="true" outlineLevel="0" collapsed="false">
      <c r="B14" s="14" t="s">
        <v>74</v>
      </c>
      <c r="C14" s="15" t="n">
        <v>105000</v>
      </c>
      <c r="D14" s="16" t="n">
        <f aca="false">C14/$C$8</f>
        <v>0.3</v>
      </c>
      <c r="H14" s="20" t="s">
        <v>34</v>
      </c>
      <c r="I14" s="20" t="s">
        <v>35</v>
      </c>
      <c r="J14" s="20" t="s">
        <v>41</v>
      </c>
      <c r="K14" s="20" t="s">
        <v>42</v>
      </c>
      <c r="L14" s="20" t="s">
        <v>43</v>
      </c>
      <c r="M14" s="20" t="s">
        <v>44</v>
      </c>
      <c r="N14" s="20" t="s">
        <v>45</v>
      </c>
      <c r="O14" s="20" t="s">
        <v>46</v>
      </c>
    </row>
    <row r="15" customFormat="false" ht="15" hidden="false" customHeight="false" outlineLevel="0" collapsed="false">
      <c r="B15" s="14" t="s">
        <v>75</v>
      </c>
      <c r="C15" s="15" t="n">
        <v>35000</v>
      </c>
      <c r="D15" s="16" t="n">
        <f aca="false">C15/$C$8</f>
        <v>0.1</v>
      </c>
      <c r="H15" s="21" t="str">
        <f aca="false">H7</f>
        <v>Dobradiça 3" (par)</v>
      </c>
      <c r="I15" s="22" t="n">
        <f aca="false">I7</f>
        <v>8.4</v>
      </c>
      <c r="J15" s="22" t="n">
        <f aca="false">$C$29</f>
        <v>18</v>
      </c>
      <c r="K15" s="22" t="n">
        <f aca="false">$C$28</f>
        <v>10</v>
      </c>
      <c r="L15" s="22" t="n">
        <f aca="false">$C$30</f>
        <v>22</v>
      </c>
      <c r="M15" s="9" t="n">
        <f aca="false">I15/((100-(J15+K15+L15))/100)</f>
        <v>16.8</v>
      </c>
      <c r="N15" s="24" t="n">
        <f aca="false">L7</f>
        <v>10</v>
      </c>
      <c r="O15" s="26" t="n">
        <f aca="false">I15/((100-(J15+K15+L15+N15))/100)</f>
        <v>21</v>
      </c>
    </row>
    <row r="16" customFormat="false" ht="15" hidden="false" customHeight="false" outlineLevel="0" collapsed="false">
      <c r="H16" s="21" t="str">
        <f aca="false">H8</f>
        <v>Fechadura de embutir</v>
      </c>
      <c r="I16" s="22" t="n">
        <f aca="false">I8</f>
        <v>46.5</v>
      </c>
      <c r="J16" s="22" t="n">
        <f aca="false">$C$29</f>
        <v>18</v>
      </c>
      <c r="K16" s="22" t="n">
        <f aca="false">$C$28</f>
        <v>10</v>
      </c>
      <c r="L16" s="22" t="n">
        <f aca="false">$C$30</f>
        <v>22</v>
      </c>
      <c r="M16" s="9" t="n">
        <f aca="false">I16/((100-(J16+K16+L16))/100)</f>
        <v>93</v>
      </c>
      <c r="N16" s="24" t="n">
        <f aca="false">L8</f>
        <v>15</v>
      </c>
      <c r="O16" s="26" t="n">
        <f aca="false">I16/((100-(J16+K16+L16+N16))/100)</f>
        <v>132.857142857143</v>
      </c>
    </row>
    <row r="17" customFormat="false" ht="15" hidden="false" customHeight="false" outlineLevel="0" collapsed="false">
      <c r="B17" s="10" t="s">
        <v>33</v>
      </c>
      <c r="C17" s="11" t="n">
        <f aca="false">C10+C13</f>
        <v>203000</v>
      </c>
      <c r="D17" s="12" t="n">
        <f aca="false">C17/$C$8</f>
        <v>0.58</v>
      </c>
      <c r="H17" s="21" t="str">
        <f aca="false">H9</f>
        <v>Puxador de inox 30 cm</v>
      </c>
      <c r="I17" s="22" t="n">
        <f aca="false">I9</f>
        <v>12.9</v>
      </c>
      <c r="J17" s="22" t="n">
        <f aca="false">$C$29</f>
        <v>18</v>
      </c>
      <c r="K17" s="22" t="n">
        <f aca="false">$C$28</f>
        <v>10</v>
      </c>
      <c r="L17" s="22" t="n">
        <f aca="false">$C$30</f>
        <v>22</v>
      </c>
      <c r="M17" s="9" t="n">
        <f aca="false">I17/((100-(J17+K17+L17))/100)</f>
        <v>25.8</v>
      </c>
      <c r="N17" s="24" t="n">
        <f aca="false">L9</f>
        <v>8</v>
      </c>
      <c r="O17" s="26" t="n">
        <f aca="false">I17/((100-(J17+K17+L17+N17))/100)</f>
        <v>30.7142857142857</v>
      </c>
    </row>
    <row r="18" customFormat="false" ht="15" hidden="false" customHeight="false" outlineLevel="0" collapsed="false">
      <c r="H18" s="21" t="str">
        <f aca="false">H10</f>
        <v>Trinco de sobrepor</v>
      </c>
      <c r="I18" s="22" t="n">
        <f aca="false">I10</f>
        <v>5.6</v>
      </c>
      <c r="J18" s="22" t="n">
        <f aca="false">$C$29</f>
        <v>18</v>
      </c>
      <c r="K18" s="22" t="n">
        <f aca="false">$C$28</f>
        <v>10</v>
      </c>
      <c r="L18" s="22" t="n">
        <f aca="false">$C$30</f>
        <v>22</v>
      </c>
      <c r="M18" s="9" t="n">
        <f aca="false">I18/((100-(J18+K18+L18))/100)</f>
        <v>11.2</v>
      </c>
      <c r="N18" s="24" t="n">
        <f aca="false">L10</f>
        <v>20</v>
      </c>
      <c r="O18" s="26" t="n">
        <f aca="false">I18/((100-(J18+K18+L18+N18))/100)</f>
        <v>18.6666666666667</v>
      </c>
    </row>
    <row r="19" customFormat="false" ht="15" hidden="false" customHeight="false" outlineLevel="0" collapsed="false">
      <c r="B19" s="10" t="s">
        <v>38</v>
      </c>
      <c r="C19" s="11" t="n">
        <f aca="false">C8-C17</f>
        <v>147000</v>
      </c>
      <c r="D19" s="12" t="n">
        <f aca="false">C19/$C$8</f>
        <v>0.42</v>
      </c>
      <c r="H19" s="27" t="s">
        <v>49</v>
      </c>
    </row>
    <row r="21" customFormat="false" ht="16.15" hidden="false" customHeight="false" outlineLevel="0" collapsed="false">
      <c r="B21" s="10" t="s">
        <v>40</v>
      </c>
      <c r="C21" s="11" t="n">
        <f aca="false">SUM(C22:C22)</f>
        <v>77000</v>
      </c>
      <c r="D21" s="12" t="n">
        <f aca="false">C21/$C$8</f>
        <v>0.22</v>
      </c>
      <c r="H21" s="5" t="s">
        <v>76</v>
      </c>
      <c r="I21" s="5"/>
      <c r="J21" s="5"/>
      <c r="K21" s="5"/>
    </row>
    <row r="22" customFormat="false" ht="15" hidden="false" customHeight="true" outlineLevel="0" collapsed="false">
      <c r="B22" s="14" t="s">
        <v>77</v>
      </c>
      <c r="C22" s="15" t="n">
        <v>77000</v>
      </c>
      <c r="D22" s="16" t="n">
        <f aca="false">C22/$C$8</f>
        <v>0.22</v>
      </c>
      <c r="H22" s="30" t="s">
        <v>78</v>
      </c>
      <c r="I22" s="30"/>
      <c r="J22" s="9" t="n">
        <v>120</v>
      </c>
    </row>
    <row r="23" customFormat="false" ht="15" hidden="false" customHeight="true" outlineLevel="0" collapsed="false">
      <c r="H23" s="30" t="s">
        <v>79</v>
      </c>
      <c r="I23" s="30"/>
      <c r="J23" s="22" t="n">
        <f aca="false">I16</f>
        <v>46.5</v>
      </c>
    </row>
    <row r="24" customFormat="false" ht="15" hidden="false" customHeight="true" outlineLevel="0" collapsed="false">
      <c r="B24" s="28" t="s">
        <v>59</v>
      </c>
      <c r="C24" s="11" t="n">
        <f aca="false">C19-C21</f>
        <v>70000</v>
      </c>
      <c r="D24" s="12" t="n">
        <f aca="false">C24/$C$8</f>
        <v>0.2</v>
      </c>
      <c r="H24" s="30" t="s">
        <v>80</v>
      </c>
      <c r="I24" s="30"/>
      <c r="J24" s="22" t="n">
        <f aca="false">J23/J22*100</f>
        <v>38.75</v>
      </c>
    </row>
    <row r="25" customFormat="false" ht="31.5" hidden="false" customHeight="true" outlineLevel="0" collapsed="false">
      <c r="H25" s="30" t="s">
        <v>81</v>
      </c>
      <c r="I25" s="30"/>
      <c r="J25" s="31" t="n">
        <f aca="false">100-($C$29+$C$28+$C$30)-J24</f>
        <v>11.25</v>
      </c>
    </row>
    <row r="27" customFormat="false" ht="16.15" hidden="false" customHeight="false" outlineLevel="0" collapsed="false">
      <c r="B27" s="29" t="s">
        <v>60</v>
      </c>
      <c r="C27" s="29"/>
      <c r="H27" s="5" t="s">
        <v>82</v>
      </c>
      <c r="I27" s="5"/>
      <c r="J27" s="5"/>
      <c r="K27" s="5"/>
    </row>
    <row r="28" customFormat="false" ht="15" hidden="false" customHeight="false" outlineLevel="0" collapsed="false">
      <c r="B28" s="14" t="s">
        <v>61</v>
      </c>
      <c r="C28" s="22" t="n">
        <f aca="false">(D13-D14)*100</f>
        <v>10</v>
      </c>
      <c r="H28" s="32" t="s">
        <v>83</v>
      </c>
      <c r="I28" s="32"/>
      <c r="J28" s="31" t="n">
        <f aca="false">(100-($C$29+$C$28+$C$30+50))/100</f>
        <v>0</v>
      </c>
    </row>
    <row r="29" customFormat="false" ht="15" hidden="false" customHeight="false" outlineLevel="0" collapsed="false">
      <c r="B29" s="14" t="s">
        <v>41</v>
      </c>
      <c r="C29" s="22" t="n">
        <f aca="false">D10*100</f>
        <v>18</v>
      </c>
    </row>
    <row r="30" customFormat="false" ht="15" hidden="false" customHeight="false" outlineLevel="0" collapsed="false">
      <c r="B30" s="14" t="s">
        <v>62</v>
      </c>
      <c r="C30" s="22" t="n">
        <f aca="false">D21*100</f>
        <v>22</v>
      </c>
      <c r="H30" s="33" t="s">
        <v>84</v>
      </c>
      <c r="I30" s="33"/>
      <c r="J30" s="33"/>
      <c r="K30" s="33"/>
      <c r="L30" s="33"/>
      <c r="M30" s="33"/>
      <c r="N30" s="33"/>
      <c r="O30" s="33"/>
    </row>
    <row r="31" customFormat="false" ht="60" hidden="false" customHeight="true" outlineLevel="0" collapsed="false">
      <c r="B31" s="14" t="s">
        <v>63</v>
      </c>
      <c r="C31" s="22" t="n">
        <f aca="false">D19*100</f>
        <v>42</v>
      </c>
      <c r="H31" s="34" t="s">
        <v>85</v>
      </c>
      <c r="I31" s="34"/>
      <c r="J31" s="34"/>
      <c r="K31" s="34"/>
      <c r="L31" s="34"/>
      <c r="M31" s="34"/>
      <c r="N31" s="34"/>
      <c r="O31" s="34"/>
    </row>
  </sheetData>
  <mergeCells count="15">
    <mergeCell ref="B2:O2"/>
    <mergeCell ref="B4:D4"/>
    <mergeCell ref="B5:D5"/>
    <mergeCell ref="H5:L5"/>
    <mergeCell ref="H13:O13"/>
    <mergeCell ref="H21:K21"/>
    <mergeCell ref="H22:I22"/>
    <mergeCell ref="H23:I23"/>
    <mergeCell ref="H24:I24"/>
    <mergeCell ref="H25:I25"/>
    <mergeCell ref="B27:C27"/>
    <mergeCell ref="H27:K27"/>
    <mergeCell ref="H28:I28"/>
    <mergeCell ref="H30:O30"/>
    <mergeCell ref="H31:O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O4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2"/>
    <col collapsed="false" customWidth="true" hidden="false" outlineLevel="0" max="3" min="3" style="0" width="19"/>
    <col collapsed="false" customWidth="true" hidden="false" outlineLevel="0" max="4" min="4" style="0" width="10"/>
    <col collapsed="false" customWidth="true" hidden="false" outlineLevel="0" max="7" min="5" style="0" width="3"/>
    <col collapsed="false" customWidth="true" hidden="false" outlineLevel="0" max="8" min="8" style="0" width="34"/>
    <col collapsed="false" customWidth="true" hidden="false" outlineLevel="0" max="9" min="9" style="0" width="14"/>
    <col collapsed="false" customWidth="true" hidden="false" outlineLevel="0" max="10" min="10" style="0" width="18"/>
    <col collapsed="false" customWidth="true" hidden="false" outlineLevel="0" max="13" min="11" style="0" width="16"/>
    <col collapsed="false" customWidth="true" hidden="false" outlineLevel="0" max="14" min="14" style="0" width="10"/>
    <col collapsed="false" customWidth="true" hidden="false" outlineLevel="0" max="15" min="15" style="0" width="17"/>
  </cols>
  <sheetData>
    <row r="2" customFormat="false" ht="15" hidden="false" customHeight="false" outlineLevel="0" collapsed="false">
      <c r="B2" s="1" t="s">
        <v>86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4" customFormat="false" ht="17.35" hidden="false" customHeight="false" outlineLevel="0" collapsed="false">
      <c r="B4" s="3" t="s">
        <v>2</v>
      </c>
      <c r="C4" s="3"/>
      <c r="D4" s="3"/>
    </row>
    <row r="5" customFormat="false" ht="16.15" hidden="false" customHeight="false" outlineLevel="0" collapsed="false">
      <c r="B5" s="4" t="s">
        <v>87</v>
      </c>
      <c r="C5" s="4"/>
      <c r="D5" s="4"/>
      <c r="H5" s="5" t="s">
        <v>88</v>
      </c>
      <c r="I5" s="5"/>
      <c r="J5" s="5"/>
      <c r="K5" s="5"/>
      <c r="L5" s="5"/>
    </row>
    <row r="6" customFormat="false" ht="30" hidden="false" customHeight="true" outlineLevel="0" collapsed="false">
      <c r="B6" s="6" t="s">
        <v>5</v>
      </c>
      <c r="C6" s="6" t="s">
        <v>6</v>
      </c>
      <c r="D6" s="7" t="s">
        <v>7</v>
      </c>
      <c r="H6" s="20" t="s">
        <v>34</v>
      </c>
      <c r="I6" s="20" t="s">
        <v>68</v>
      </c>
      <c r="J6" s="20" t="s">
        <v>89</v>
      </c>
      <c r="K6" s="20" t="s">
        <v>90</v>
      </c>
      <c r="L6" s="20" t="s">
        <v>36</v>
      </c>
    </row>
    <row r="7" customFormat="false" ht="15" hidden="false" customHeight="false" outlineLevel="0" collapsed="false">
      <c r="H7" s="21" t="s">
        <v>91</v>
      </c>
      <c r="I7" s="22" t="n">
        <v>120</v>
      </c>
      <c r="J7" s="35" t="n">
        <v>800</v>
      </c>
      <c r="K7" s="35" t="n">
        <v>600</v>
      </c>
      <c r="L7" s="24" t="n">
        <v>12</v>
      </c>
    </row>
    <row r="8" customFormat="false" ht="15" hidden="false" customHeight="false" outlineLevel="0" collapsed="false">
      <c r="B8" s="10" t="s">
        <v>10</v>
      </c>
      <c r="C8" s="11" t="n">
        <v>600000</v>
      </c>
      <c r="D8" s="12" t="n">
        <f aca="false">C8/$C$8</f>
        <v>1</v>
      </c>
      <c r="H8" s="21" t="s">
        <v>92</v>
      </c>
      <c r="I8" s="22" t="n">
        <v>210</v>
      </c>
      <c r="J8" s="35" t="n">
        <v>500</v>
      </c>
      <c r="K8" s="35" t="n">
        <v>400</v>
      </c>
      <c r="L8" s="24" t="n">
        <v>15</v>
      </c>
    </row>
    <row r="9" customFormat="false" ht="15" hidden="false" customHeight="false" outlineLevel="0" collapsed="false">
      <c r="H9" s="21" t="s">
        <v>93</v>
      </c>
      <c r="I9" s="22" t="n">
        <v>45</v>
      </c>
      <c r="J9" s="35" t="n">
        <v>1700</v>
      </c>
      <c r="K9" s="35" t="n">
        <v>1000</v>
      </c>
      <c r="L9" s="24" t="n">
        <v>10</v>
      </c>
    </row>
    <row r="10" customFormat="false" ht="15" hidden="false" customHeight="false" outlineLevel="0" collapsed="false">
      <c r="B10" s="10" t="s">
        <v>13</v>
      </c>
      <c r="C10" s="11" t="n">
        <f aca="false">SUM(C11:C11)</f>
        <v>120000</v>
      </c>
      <c r="D10" s="12" t="n">
        <f aca="false">C10/$C$8</f>
        <v>0.2</v>
      </c>
      <c r="H10" s="8" t="s">
        <v>94</v>
      </c>
      <c r="I10" s="23"/>
      <c r="J10" s="36" t="n">
        <f aca="false">SUM(J7:J9)</f>
        <v>3000</v>
      </c>
      <c r="K10" s="36" t="n">
        <f aca="false">SUM(K7:K9)</f>
        <v>2000</v>
      </c>
      <c r="L10" s="23"/>
    </row>
    <row r="11" customFormat="false" ht="15" hidden="false" customHeight="false" outlineLevel="0" collapsed="false">
      <c r="B11" s="14" t="s">
        <v>95</v>
      </c>
      <c r="C11" s="15" t="n">
        <v>120000</v>
      </c>
      <c r="D11" s="16" t="n">
        <f aca="false">C11/$C$8</f>
        <v>0.2</v>
      </c>
    </row>
    <row r="12" customFormat="false" ht="16.15" hidden="false" customHeight="false" outlineLevel="0" collapsed="false">
      <c r="H12" s="5" t="s">
        <v>96</v>
      </c>
      <c r="I12" s="5"/>
      <c r="J12" s="5"/>
    </row>
    <row r="13" customFormat="false" ht="15" hidden="false" customHeight="false" outlineLevel="0" collapsed="false">
      <c r="B13" s="10" t="s">
        <v>23</v>
      </c>
      <c r="C13" s="11" t="n">
        <f aca="false">SUM(C14:C15)</f>
        <v>270000</v>
      </c>
      <c r="D13" s="12" t="n">
        <f aca="false">C13/$C$8</f>
        <v>0.45</v>
      </c>
      <c r="H13" s="32" t="s">
        <v>97</v>
      </c>
      <c r="I13" s="32"/>
      <c r="J13" s="26" t="n">
        <f aca="false">ROUND(C21/J10,2)</f>
        <v>48</v>
      </c>
    </row>
    <row r="14" customFormat="false" ht="15" hidden="false" customHeight="false" outlineLevel="0" collapsed="false">
      <c r="B14" s="14" t="s">
        <v>98</v>
      </c>
      <c r="C14" s="15" t="n">
        <v>210000</v>
      </c>
      <c r="D14" s="16" t="n">
        <f aca="false">C14/$C$8</f>
        <v>0.35</v>
      </c>
      <c r="H14" s="32" t="s">
        <v>99</v>
      </c>
      <c r="I14" s="32"/>
      <c r="J14" s="26" t="n">
        <f aca="false">ROUND(C21/K10,2)</f>
        <v>72</v>
      </c>
    </row>
    <row r="15" customFormat="false" ht="15" hidden="false" customHeight="false" outlineLevel="0" collapsed="false">
      <c r="B15" s="14" t="s">
        <v>100</v>
      </c>
      <c r="C15" s="15" t="n">
        <v>60000</v>
      </c>
      <c r="D15" s="16" t="n">
        <f aca="false">C15/$C$8</f>
        <v>0.1</v>
      </c>
    </row>
    <row r="16" customFormat="false" ht="16.15" hidden="false" customHeight="false" outlineLevel="0" collapsed="false">
      <c r="H16" s="25" t="s">
        <v>101</v>
      </c>
      <c r="I16" s="25"/>
      <c r="J16" s="25"/>
      <c r="K16" s="25"/>
      <c r="L16" s="25"/>
      <c r="M16" s="25"/>
      <c r="N16" s="25"/>
      <c r="O16" s="25"/>
    </row>
    <row r="17" customFormat="false" ht="30" hidden="false" customHeight="true" outlineLevel="0" collapsed="false">
      <c r="B17" s="10" t="s">
        <v>33</v>
      </c>
      <c r="C17" s="11" t="n">
        <f aca="false">C10+C13</f>
        <v>390000</v>
      </c>
      <c r="D17" s="12" t="n">
        <f aca="false">C17/$C$8</f>
        <v>0.65</v>
      </c>
      <c r="H17" s="20" t="s">
        <v>34</v>
      </c>
      <c r="I17" s="20" t="s">
        <v>35</v>
      </c>
      <c r="J17" s="20" t="s">
        <v>41</v>
      </c>
      <c r="K17" s="20" t="s">
        <v>42</v>
      </c>
      <c r="L17" s="20" t="s">
        <v>102</v>
      </c>
      <c r="M17" s="20" t="s">
        <v>44</v>
      </c>
      <c r="N17" s="20" t="s">
        <v>45</v>
      </c>
      <c r="O17" s="20" t="s">
        <v>46</v>
      </c>
    </row>
    <row r="18" customFormat="false" ht="15" hidden="false" customHeight="false" outlineLevel="0" collapsed="false">
      <c r="H18" s="21" t="str">
        <f aca="false">$H$7</f>
        <v>Cômoda 4 gavetas</v>
      </c>
      <c r="I18" s="22" t="n">
        <f aca="false">$I$7</f>
        <v>120</v>
      </c>
      <c r="J18" s="22" t="n">
        <f aca="false">$C$29</f>
        <v>20</v>
      </c>
      <c r="K18" s="22" t="n">
        <f aca="false">$C$28</f>
        <v>10</v>
      </c>
      <c r="L18" s="9" t="n">
        <f aca="false">$J$13</f>
        <v>48</v>
      </c>
      <c r="M18" s="9" t="n">
        <f aca="false">(I18+L18)/((100-(J18+K18))/100)</f>
        <v>240</v>
      </c>
      <c r="N18" s="24" t="n">
        <f aca="false">$L$7</f>
        <v>12</v>
      </c>
      <c r="O18" s="26" t="n">
        <f aca="false">(I18+L18)/((100-(J18+K18+N18))/100)</f>
        <v>289.655172413793</v>
      </c>
    </row>
    <row r="19" customFormat="false" ht="15" hidden="false" customHeight="false" outlineLevel="0" collapsed="false">
      <c r="B19" s="10" t="s">
        <v>38</v>
      </c>
      <c r="C19" s="11" t="n">
        <f aca="false">C8-C17</f>
        <v>210000</v>
      </c>
      <c r="D19" s="12" t="n">
        <f aca="false">C19/$C$8</f>
        <v>0.35</v>
      </c>
      <c r="H19" s="21" t="str">
        <f aca="false">$H$8</f>
        <v>Mesa de jantar 6 lugares</v>
      </c>
      <c r="I19" s="22" t="n">
        <f aca="false">$I$8</f>
        <v>210</v>
      </c>
      <c r="J19" s="22" t="n">
        <f aca="false">$C$29</f>
        <v>20</v>
      </c>
      <c r="K19" s="22" t="n">
        <f aca="false">$C$28</f>
        <v>10</v>
      </c>
      <c r="L19" s="9" t="n">
        <f aca="false">$J$13</f>
        <v>48</v>
      </c>
      <c r="M19" s="9" t="n">
        <f aca="false">(I19+L19)/((100-(J19+K19))/100)</f>
        <v>368.571428571429</v>
      </c>
      <c r="N19" s="24" t="n">
        <f aca="false">$L$8</f>
        <v>15</v>
      </c>
      <c r="O19" s="26" t="n">
        <f aca="false">(I19+L19)/((100-(J19+K19+N19))/100)</f>
        <v>469.090909090909</v>
      </c>
    </row>
    <row r="20" customFormat="false" ht="15" hidden="false" customHeight="false" outlineLevel="0" collapsed="false">
      <c r="H20" s="21" t="str">
        <f aca="false">$H$9</f>
        <v>Cadeira estofada</v>
      </c>
      <c r="I20" s="22" t="n">
        <f aca="false">$I$9</f>
        <v>45</v>
      </c>
      <c r="J20" s="22" t="n">
        <f aca="false">$C$29</f>
        <v>20</v>
      </c>
      <c r="K20" s="22" t="n">
        <f aca="false">$C$28</f>
        <v>10</v>
      </c>
      <c r="L20" s="9" t="n">
        <f aca="false">$J$13</f>
        <v>48</v>
      </c>
      <c r="M20" s="9" t="n">
        <f aca="false">(I20+L20)/((100-(J20+K20))/100)</f>
        <v>132.857142857143</v>
      </c>
      <c r="N20" s="24" t="n">
        <f aca="false">$L$9</f>
        <v>10</v>
      </c>
      <c r="O20" s="26" t="n">
        <f aca="false">(I20+L20)/((100-(J20+K20+N20))/100)</f>
        <v>155</v>
      </c>
    </row>
    <row r="21" customFormat="false" ht="15" hidden="false" customHeight="false" outlineLevel="0" collapsed="false">
      <c r="B21" s="10" t="s">
        <v>40</v>
      </c>
      <c r="C21" s="11" t="n">
        <f aca="false">SUM(C22:C22)</f>
        <v>144000</v>
      </c>
      <c r="D21" s="12" t="n">
        <f aca="false">C21/$C$8</f>
        <v>0.24</v>
      </c>
      <c r="H21" s="27" t="s">
        <v>103</v>
      </c>
    </row>
    <row r="22" customFormat="false" ht="15" hidden="false" customHeight="false" outlineLevel="0" collapsed="false">
      <c r="B22" s="14" t="s">
        <v>77</v>
      </c>
      <c r="C22" s="15" t="n">
        <v>144000</v>
      </c>
      <c r="D22" s="16" t="n">
        <f aca="false">C22/$C$8</f>
        <v>0.24</v>
      </c>
    </row>
    <row r="23" customFormat="false" ht="16.15" hidden="false" customHeight="false" outlineLevel="0" collapsed="false">
      <c r="H23" s="25" t="s">
        <v>104</v>
      </c>
      <c r="I23" s="25"/>
      <c r="J23" s="25"/>
      <c r="K23" s="25"/>
      <c r="L23" s="25"/>
      <c r="M23" s="25"/>
      <c r="N23" s="25"/>
      <c r="O23" s="25"/>
    </row>
    <row r="24" customFormat="false" ht="30" hidden="false" customHeight="true" outlineLevel="0" collapsed="false">
      <c r="B24" s="28" t="s">
        <v>59</v>
      </c>
      <c r="C24" s="11" t="n">
        <f aca="false">C19-C21</f>
        <v>66000</v>
      </c>
      <c r="D24" s="12" t="n">
        <f aca="false">C24/$C$8</f>
        <v>0.11</v>
      </c>
      <c r="H24" s="20" t="s">
        <v>34</v>
      </c>
      <c r="I24" s="20" t="s">
        <v>35</v>
      </c>
      <c r="J24" s="20" t="s">
        <v>41</v>
      </c>
      <c r="K24" s="20" t="s">
        <v>42</v>
      </c>
      <c r="L24" s="20" t="s">
        <v>102</v>
      </c>
      <c r="M24" s="20" t="s">
        <v>44</v>
      </c>
      <c r="N24" s="20" t="s">
        <v>45</v>
      </c>
      <c r="O24" s="20" t="s">
        <v>46</v>
      </c>
    </row>
    <row r="25" customFormat="false" ht="15" hidden="false" customHeight="false" outlineLevel="0" collapsed="false">
      <c r="H25" s="21" t="str">
        <f aca="false">$H$7</f>
        <v>Cômoda 4 gavetas</v>
      </c>
      <c r="I25" s="22" t="n">
        <f aca="false">$I$7</f>
        <v>120</v>
      </c>
      <c r="J25" s="22" t="n">
        <f aca="false">$C$29</f>
        <v>20</v>
      </c>
      <c r="K25" s="22" t="n">
        <f aca="false">$C$28</f>
        <v>10</v>
      </c>
      <c r="L25" s="9" t="n">
        <f aca="false">$J$14</f>
        <v>72</v>
      </c>
      <c r="M25" s="9" t="n">
        <f aca="false">(I25+L25)/((100-(J25+K25))/100)</f>
        <v>274.285714285714</v>
      </c>
      <c r="N25" s="24" t="n">
        <f aca="false">$L$7</f>
        <v>12</v>
      </c>
      <c r="O25" s="26" t="n">
        <f aca="false">(I25+L25)/((100-(J25+K25+N25))/100)</f>
        <v>331.034482758621</v>
      </c>
    </row>
    <row r="26" customFormat="false" ht="15" hidden="false" customHeight="false" outlineLevel="0" collapsed="false">
      <c r="H26" s="21" t="str">
        <f aca="false">$H$8</f>
        <v>Mesa de jantar 6 lugares</v>
      </c>
      <c r="I26" s="22" t="n">
        <f aca="false">$I$8</f>
        <v>210</v>
      </c>
      <c r="J26" s="22" t="n">
        <f aca="false">$C$29</f>
        <v>20</v>
      </c>
      <c r="K26" s="22" t="n">
        <f aca="false">$C$28</f>
        <v>10</v>
      </c>
      <c r="L26" s="9" t="n">
        <f aca="false">$J$14</f>
        <v>72</v>
      </c>
      <c r="M26" s="9" t="n">
        <f aca="false">(I26+L26)/((100-(J26+K26))/100)</f>
        <v>402.857142857143</v>
      </c>
      <c r="N26" s="24" t="n">
        <f aca="false">$L$8</f>
        <v>15</v>
      </c>
      <c r="O26" s="26" t="n">
        <f aca="false">(I26+L26)/((100-(J26+K26+N26))/100)</f>
        <v>512.727272727273</v>
      </c>
    </row>
    <row r="27" customFormat="false" ht="15" hidden="false" customHeight="false" outlineLevel="0" collapsed="false">
      <c r="B27" s="29" t="s">
        <v>60</v>
      </c>
      <c r="C27" s="29"/>
      <c r="H27" s="21" t="str">
        <f aca="false">$H$9</f>
        <v>Cadeira estofada</v>
      </c>
      <c r="I27" s="22" t="n">
        <f aca="false">$I$9</f>
        <v>45</v>
      </c>
      <c r="J27" s="22" t="n">
        <f aca="false">$C$29</f>
        <v>20</v>
      </c>
      <c r="K27" s="22" t="n">
        <f aca="false">$C$28</f>
        <v>10</v>
      </c>
      <c r="L27" s="9" t="n">
        <f aca="false">$J$14</f>
        <v>72</v>
      </c>
      <c r="M27" s="9" t="n">
        <f aca="false">(I27+L27)/((100-(J27+K27))/100)</f>
        <v>167.142857142857</v>
      </c>
      <c r="N27" s="24" t="n">
        <f aca="false">$L$9</f>
        <v>10</v>
      </c>
      <c r="O27" s="26" t="n">
        <f aca="false">(I27+L27)/((100-(J27+K27+N27))/100)</f>
        <v>195</v>
      </c>
    </row>
    <row r="28" customFormat="false" ht="15" hidden="false" customHeight="false" outlineLevel="0" collapsed="false">
      <c r="B28" s="14" t="s">
        <v>61</v>
      </c>
      <c r="C28" s="22" t="n">
        <f aca="false">(D13-D14)*100</f>
        <v>10</v>
      </c>
      <c r="H28" s="27" t="s">
        <v>103</v>
      </c>
    </row>
    <row r="29" customFormat="false" ht="15" hidden="false" customHeight="false" outlineLevel="0" collapsed="false">
      <c r="B29" s="14" t="s">
        <v>41</v>
      </c>
      <c r="C29" s="22" t="n">
        <f aca="false">D10*100</f>
        <v>20</v>
      </c>
    </row>
    <row r="30" customFormat="false" ht="16.15" hidden="false" customHeight="false" outlineLevel="0" collapsed="false">
      <c r="B30" s="14" t="s">
        <v>62</v>
      </c>
      <c r="C30" s="22" t="n">
        <f aca="false">D21*100</f>
        <v>24</v>
      </c>
      <c r="H30" s="5" t="s">
        <v>105</v>
      </c>
      <c r="I30" s="5"/>
      <c r="J30" s="5"/>
      <c r="K30" s="5"/>
    </row>
    <row r="31" customFormat="false" ht="30" hidden="false" customHeight="true" outlineLevel="0" collapsed="false">
      <c r="B31" s="14" t="s">
        <v>63</v>
      </c>
      <c r="C31" s="22" t="n">
        <f aca="false">D19*100</f>
        <v>35</v>
      </c>
      <c r="H31" s="20" t="s">
        <v>34</v>
      </c>
      <c r="I31" s="20" t="s">
        <v>106</v>
      </c>
      <c r="J31" s="20" t="s">
        <v>107</v>
      </c>
      <c r="K31" s="20" t="s">
        <v>108</v>
      </c>
    </row>
    <row r="32" customFormat="false" ht="15" hidden="false" customHeight="false" outlineLevel="0" collapsed="false">
      <c r="H32" s="21" t="str">
        <f aca="false">H18</f>
        <v>Cômoda 4 gavetas</v>
      </c>
      <c r="I32" s="9" t="n">
        <f aca="false">O18</f>
        <v>289.655172413793</v>
      </c>
      <c r="J32" s="9" t="n">
        <f aca="false">O25</f>
        <v>331.034482758621</v>
      </c>
      <c r="K32" s="37" t="n">
        <f aca="false">J32/I32-1</f>
        <v>0.142857142857143</v>
      </c>
    </row>
    <row r="33" customFormat="false" ht="15" hidden="false" customHeight="false" outlineLevel="0" collapsed="false">
      <c r="H33" s="21" t="str">
        <f aca="false">H19</f>
        <v>Mesa de jantar 6 lugares</v>
      </c>
      <c r="I33" s="9" t="n">
        <f aca="false">O19</f>
        <v>469.090909090909</v>
      </c>
      <c r="J33" s="9" t="n">
        <f aca="false">O26</f>
        <v>512.727272727273</v>
      </c>
      <c r="K33" s="37" t="n">
        <f aca="false">J33/I33-1</f>
        <v>0.0930232558139534</v>
      </c>
    </row>
    <row r="34" customFormat="false" ht="15" hidden="false" customHeight="false" outlineLevel="0" collapsed="false">
      <c r="H34" s="21" t="str">
        <f aca="false">H20</f>
        <v>Cadeira estofada</v>
      </c>
      <c r="I34" s="9" t="n">
        <f aca="false">O20</f>
        <v>155</v>
      </c>
      <c r="J34" s="9" t="n">
        <f aca="false">O27</f>
        <v>195</v>
      </c>
      <c r="K34" s="37" t="n">
        <f aca="false">J34/I34-1</f>
        <v>0.258064516129032</v>
      </c>
    </row>
    <row r="36" customFormat="false" ht="16.15" hidden="false" customHeight="false" outlineLevel="0" collapsed="false">
      <c r="H36" s="5" t="s">
        <v>109</v>
      </c>
      <c r="I36" s="5"/>
      <c r="J36" s="5"/>
    </row>
    <row r="37" customFormat="false" ht="15" hidden="false" customHeight="false" outlineLevel="0" collapsed="false">
      <c r="H37" s="32" t="s">
        <v>110</v>
      </c>
      <c r="I37" s="32"/>
      <c r="J37" s="26" t="n">
        <f aca="false">$J$13*(J10-K10)</f>
        <v>48000</v>
      </c>
    </row>
    <row r="39" customFormat="false" ht="15" hidden="false" customHeight="false" outlineLevel="0" collapsed="false">
      <c r="H39" s="33" t="s">
        <v>111</v>
      </c>
      <c r="I39" s="33"/>
      <c r="J39" s="33"/>
      <c r="K39" s="33"/>
      <c r="L39" s="33"/>
      <c r="M39" s="33"/>
      <c r="N39" s="33"/>
      <c r="O39" s="33"/>
    </row>
    <row r="40" customFormat="false" ht="75" hidden="false" customHeight="true" outlineLevel="0" collapsed="false">
      <c r="H40" s="34" t="s">
        <v>112</v>
      </c>
      <c r="I40" s="34"/>
      <c r="J40" s="34"/>
      <c r="K40" s="34"/>
      <c r="L40" s="34"/>
      <c r="M40" s="34"/>
      <c r="N40" s="34"/>
      <c r="O40" s="34"/>
    </row>
  </sheetData>
  <mergeCells count="15">
    <mergeCell ref="B2:O2"/>
    <mergeCell ref="B4:D4"/>
    <mergeCell ref="B5:D5"/>
    <mergeCell ref="H5:L5"/>
    <mergeCell ref="H12:J12"/>
    <mergeCell ref="H13:I13"/>
    <mergeCell ref="H14:I14"/>
    <mergeCell ref="H16:O16"/>
    <mergeCell ref="H23:O23"/>
    <mergeCell ref="B27:C27"/>
    <mergeCell ref="H30:K30"/>
    <mergeCell ref="H36:J36"/>
    <mergeCell ref="H37:I37"/>
    <mergeCell ref="H39:O39"/>
    <mergeCell ref="H40:O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O59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2"/>
    <col collapsed="false" customWidth="true" hidden="false" outlineLevel="0" max="3" min="3" style="0" width="19"/>
    <col collapsed="false" customWidth="true" hidden="false" outlineLevel="0" max="4" min="4" style="0" width="10"/>
    <col collapsed="false" customWidth="true" hidden="false" outlineLevel="0" max="7" min="5" style="0" width="3"/>
    <col collapsed="false" customWidth="true" hidden="false" outlineLevel="0" max="8" min="8" style="0" width="34"/>
    <col collapsed="false" customWidth="true" hidden="false" outlineLevel="0" max="9" min="9" style="0" width="14"/>
    <col collapsed="false" customWidth="true" hidden="false" outlineLevel="0" max="10" min="10" style="0" width="18"/>
    <col collapsed="false" customWidth="true" hidden="false" outlineLevel="0" max="13" min="11" style="0" width="16"/>
    <col collapsed="false" customWidth="true" hidden="false" outlineLevel="0" max="14" min="14" style="0" width="10"/>
    <col collapsed="false" customWidth="true" hidden="false" outlineLevel="0" max="15" min="15" style="0" width="17"/>
  </cols>
  <sheetData>
    <row r="2" customFormat="false" ht="15" hidden="false" customHeight="false" outlineLevel="0" collapsed="false">
      <c r="B2" s="1" t="s">
        <v>113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4" customFormat="false" ht="17.35" hidden="false" customHeight="false" outlineLevel="0" collapsed="false">
      <c r="B4" s="3" t="s">
        <v>2</v>
      </c>
      <c r="C4" s="3"/>
      <c r="D4" s="3"/>
    </row>
    <row r="5" customFormat="false" ht="16.15" hidden="false" customHeight="false" outlineLevel="0" collapsed="false">
      <c r="B5" s="4" t="s">
        <v>114</v>
      </c>
      <c r="C5" s="4"/>
      <c r="D5" s="4"/>
      <c r="H5" s="5" t="s">
        <v>88</v>
      </c>
      <c r="I5" s="5"/>
      <c r="J5" s="5"/>
      <c r="K5" s="5"/>
      <c r="L5" s="5"/>
    </row>
    <row r="6" customFormat="false" ht="30" hidden="false" customHeight="true" outlineLevel="0" collapsed="false">
      <c r="B6" s="6" t="s">
        <v>5</v>
      </c>
      <c r="C6" s="6" t="s">
        <v>6</v>
      </c>
      <c r="D6" s="7" t="s">
        <v>7</v>
      </c>
      <c r="H6" s="20" t="s">
        <v>34</v>
      </c>
      <c r="I6" s="20" t="s">
        <v>68</v>
      </c>
      <c r="J6" s="20" t="s">
        <v>89</v>
      </c>
      <c r="K6" s="20" t="s">
        <v>90</v>
      </c>
      <c r="L6" s="20" t="s">
        <v>36</v>
      </c>
    </row>
    <row r="7" customFormat="false" ht="15" hidden="false" customHeight="false" outlineLevel="0" collapsed="false">
      <c r="H7" s="21" t="s">
        <v>115</v>
      </c>
      <c r="I7" s="22" t="n">
        <v>9.6</v>
      </c>
      <c r="J7" s="35" t="n">
        <v>4000</v>
      </c>
      <c r="K7" s="35" t="n">
        <v>3600</v>
      </c>
      <c r="L7" s="24" t="n">
        <v>15</v>
      </c>
    </row>
    <row r="8" customFormat="false" ht="15" hidden="false" customHeight="false" outlineLevel="0" collapsed="false">
      <c r="B8" s="10" t="s">
        <v>10</v>
      </c>
      <c r="C8" s="11" t="n">
        <v>320000</v>
      </c>
      <c r="D8" s="12" t="n">
        <f aca="false">C8/$C$8</f>
        <v>1</v>
      </c>
      <c r="H8" s="21" t="s">
        <v>116</v>
      </c>
      <c r="I8" s="22" t="n">
        <v>38.5</v>
      </c>
      <c r="J8" s="35" t="n">
        <v>2000</v>
      </c>
      <c r="K8" s="35" t="n">
        <v>1700</v>
      </c>
      <c r="L8" s="24" t="n">
        <v>20</v>
      </c>
    </row>
    <row r="9" customFormat="false" ht="15" hidden="false" customHeight="false" outlineLevel="0" collapsed="false">
      <c r="H9" s="21" t="s">
        <v>117</v>
      </c>
      <c r="I9" s="22" t="n">
        <v>72</v>
      </c>
      <c r="J9" s="35" t="n">
        <v>600</v>
      </c>
      <c r="K9" s="35" t="n">
        <v>500</v>
      </c>
      <c r="L9" s="24" t="n">
        <v>25</v>
      </c>
    </row>
    <row r="10" customFormat="false" ht="15" hidden="false" customHeight="false" outlineLevel="0" collapsed="false">
      <c r="B10" s="10" t="s">
        <v>13</v>
      </c>
      <c r="C10" s="11" t="n">
        <f aca="false">SUM(C11:C13)</f>
        <v>57600</v>
      </c>
      <c r="D10" s="12" t="n">
        <f aca="false">C10/$C$8</f>
        <v>0.18</v>
      </c>
      <c r="H10" s="21" t="s">
        <v>118</v>
      </c>
      <c r="I10" s="22" t="n">
        <v>44</v>
      </c>
      <c r="J10" s="35" t="n">
        <v>1400</v>
      </c>
      <c r="K10" s="35" t="n">
        <v>1000</v>
      </c>
      <c r="L10" s="24" t="n">
        <v>18</v>
      </c>
    </row>
    <row r="11" customFormat="false" ht="15" hidden="false" customHeight="false" outlineLevel="0" collapsed="false">
      <c r="B11" s="14" t="s">
        <v>119</v>
      </c>
      <c r="C11" s="15" t="n">
        <v>16000</v>
      </c>
      <c r="D11" s="16" t="n">
        <f aca="false">C11/$C$8</f>
        <v>0.05</v>
      </c>
      <c r="H11" s="21" t="s">
        <v>120</v>
      </c>
      <c r="I11" s="22" t="n">
        <v>21</v>
      </c>
      <c r="J11" s="35" t="n">
        <v>2000</v>
      </c>
      <c r="K11" s="35" t="n">
        <v>1200</v>
      </c>
      <c r="L11" s="24" t="n">
        <v>12</v>
      </c>
    </row>
    <row r="12" customFormat="false" ht="15" hidden="false" customHeight="false" outlineLevel="0" collapsed="false">
      <c r="B12" s="14" t="s">
        <v>121</v>
      </c>
      <c r="C12" s="15" t="n">
        <v>9600</v>
      </c>
      <c r="D12" s="16" t="n">
        <f aca="false">C12/$C$8</f>
        <v>0.03</v>
      </c>
      <c r="H12" s="8" t="s">
        <v>94</v>
      </c>
      <c r="I12" s="23"/>
      <c r="J12" s="36" t="n">
        <f aca="false">SUM(J7:J11)</f>
        <v>10000</v>
      </c>
      <c r="K12" s="36" t="n">
        <f aca="false">SUM(K7:K11)</f>
        <v>8000</v>
      </c>
      <c r="L12" s="23"/>
    </row>
    <row r="13" customFormat="false" ht="15" hidden="false" customHeight="false" outlineLevel="0" collapsed="false">
      <c r="B13" s="14" t="s">
        <v>122</v>
      </c>
      <c r="C13" s="15" t="n">
        <v>32000</v>
      </c>
      <c r="D13" s="16" t="n">
        <f aca="false">C13/$C$8</f>
        <v>0.1</v>
      </c>
    </row>
    <row r="14" customFormat="false" ht="16.15" hidden="false" customHeight="false" outlineLevel="0" collapsed="false">
      <c r="H14" s="5" t="s">
        <v>123</v>
      </c>
      <c r="I14" s="5"/>
      <c r="J14" s="5"/>
    </row>
    <row r="15" customFormat="false" ht="15" hidden="false" customHeight="false" outlineLevel="0" collapsed="false">
      <c r="B15" s="10" t="s">
        <v>23</v>
      </c>
      <c r="C15" s="11" t="n">
        <f aca="false">SUM(C16:C18)</f>
        <v>115200</v>
      </c>
      <c r="D15" s="12" t="n">
        <f aca="false">C15/$C$8</f>
        <v>0.36</v>
      </c>
      <c r="H15" s="32" t="s">
        <v>97</v>
      </c>
      <c r="I15" s="32"/>
      <c r="J15" s="26" t="n">
        <f aca="false">ROUND(C24/J12,2)</f>
        <v>6.4</v>
      </c>
    </row>
    <row r="16" customFormat="false" ht="15" hidden="false" customHeight="false" outlineLevel="0" collapsed="false">
      <c r="B16" s="14" t="s">
        <v>124</v>
      </c>
      <c r="C16" s="15" t="n">
        <v>96000</v>
      </c>
      <c r="D16" s="16" t="n">
        <f aca="false">C16/$C$8</f>
        <v>0.3</v>
      </c>
      <c r="H16" s="32" t="s">
        <v>99</v>
      </c>
      <c r="I16" s="32"/>
      <c r="J16" s="26" t="n">
        <f aca="false">ROUND(C24/K12,2)</f>
        <v>8</v>
      </c>
    </row>
    <row r="17" customFormat="false" ht="15" hidden="false" customHeight="false" outlineLevel="0" collapsed="false">
      <c r="B17" s="14" t="s">
        <v>28</v>
      </c>
      <c r="C17" s="15" t="n">
        <v>12800</v>
      </c>
      <c r="D17" s="16" t="n">
        <f aca="false">C17/$C$8</f>
        <v>0.04</v>
      </c>
    </row>
    <row r="18" customFormat="false" ht="16.15" hidden="false" customHeight="false" outlineLevel="0" collapsed="false">
      <c r="B18" s="14" t="s">
        <v>125</v>
      </c>
      <c r="C18" s="15" t="n">
        <v>6400</v>
      </c>
      <c r="D18" s="16" t="n">
        <f aca="false">C18/$C$8</f>
        <v>0.02</v>
      </c>
      <c r="H18" s="25" t="s">
        <v>39</v>
      </c>
      <c r="I18" s="25"/>
      <c r="J18" s="25"/>
      <c r="K18" s="25"/>
      <c r="L18" s="25"/>
      <c r="M18" s="25"/>
      <c r="N18" s="25"/>
      <c r="O18" s="25"/>
    </row>
    <row r="19" customFormat="false" ht="30" hidden="false" customHeight="true" outlineLevel="0" collapsed="false">
      <c r="H19" s="20" t="s">
        <v>34</v>
      </c>
      <c r="I19" s="20" t="s">
        <v>35</v>
      </c>
      <c r="J19" s="20" t="s">
        <v>41</v>
      </c>
      <c r="K19" s="20" t="s">
        <v>42</v>
      </c>
      <c r="L19" s="20" t="s">
        <v>43</v>
      </c>
      <c r="M19" s="20" t="s">
        <v>44</v>
      </c>
      <c r="N19" s="20" t="s">
        <v>45</v>
      </c>
      <c r="O19" s="20" t="s">
        <v>46</v>
      </c>
    </row>
    <row r="20" customFormat="false" ht="15" hidden="false" customHeight="false" outlineLevel="0" collapsed="false">
      <c r="B20" s="10" t="s">
        <v>33</v>
      </c>
      <c r="C20" s="11" t="n">
        <f aca="false">C10+C15</f>
        <v>172800</v>
      </c>
      <c r="D20" s="12" t="n">
        <f aca="false">C20/$C$8</f>
        <v>0.54</v>
      </c>
      <c r="H20" s="21" t="str">
        <f aca="false">$H$7</f>
        <v>Camiseta básica</v>
      </c>
      <c r="I20" s="22" t="n">
        <f aca="false">$I$7</f>
        <v>9.6</v>
      </c>
      <c r="J20" s="22" t="n">
        <f aca="false">$C$36</f>
        <v>18</v>
      </c>
      <c r="K20" s="22" t="n">
        <f aca="false">$C$35</f>
        <v>6</v>
      </c>
      <c r="L20" s="22" t="n">
        <f aca="false">$C$37</f>
        <v>20</v>
      </c>
      <c r="M20" s="9" t="n">
        <f aca="false">I20/((100-(J20+K20+L20))/100)</f>
        <v>17.1428571428571</v>
      </c>
      <c r="N20" s="24" t="n">
        <f aca="false">$L$7</f>
        <v>15</v>
      </c>
      <c r="O20" s="26" t="n">
        <f aca="false">I20/((100-(J20+K20+L20+N20))/100)</f>
        <v>23.4146341463415</v>
      </c>
    </row>
    <row r="21" customFormat="false" ht="15" hidden="false" customHeight="false" outlineLevel="0" collapsed="false">
      <c r="H21" s="21" t="str">
        <f aca="false">$H$8</f>
        <v>Calça jeans</v>
      </c>
      <c r="I21" s="22" t="n">
        <f aca="false">$I$8</f>
        <v>38.5</v>
      </c>
      <c r="J21" s="22" t="n">
        <f aca="false">$C$36</f>
        <v>18</v>
      </c>
      <c r="K21" s="22" t="n">
        <f aca="false">$C$35</f>
        <v>6</v>
      </c>
      <c r="L21" s="22" t="n">
        <f aca="false">$C$37</f>
        <v>20</v>
      </c>
      <c r="M21" s="9" t="n">
        <f aca="false">I21/((100-(J21+K21+L21))/100)</f>
        <v>68.75</v>
      </c>
      <c r="N21" s="24" t="n">
        <f aca="false">$L$8</f>
        <v>20</v>
      </c>
      <c r="O21" s="26" t="n">
        <f aca="false">I21/((100-(J21+K21+L21+N21))/100)</f>
        <v>106.944444444444</v>
      </c>
    </row>
    <row r="22" customFormat="false" ht="15" hidden="false" customHeight="false" outlineLevel="0" collapsed="false">
      <c r="B22" s="10" t="s">
        <v>38</v>
      </c>
      <c r="C22" s="11" t="n">
        <f aca="false">C8-C20</f>
        <v>147200</v>
      </c>
      <c r="D22" s="12" t="n">
        <f aca="false">C22/$C$8</f>
        <v>0.46</v>
      </c>
      <c r="H22" s="21" t="str">
        <f aca="false">$H$9</f>
        <v>Jaqueta jeans</v>
      </c>
      <c r="I22" s="22" t="n">
        <f aca="false">$I$9</f>
        <v>72</v>
      </c>
      <c r="J22" s="22" t="n">
        <f aca="false">$C$36</f>
        <v>18</v>
      </c>
      <c r="K22" s="22" t="n">
        <f aca="false">$C$35</f>
        <v>6</v>
      </c>
      <c r="L22" s="22" t="n">
        <f aca="false">$C$37</f>
        <v>20</v>
      </c>
      <c r="M22" s="9" t="n">
        <f aca="false">I22/((100-(J22+K22+L22))/100)</f>
        <v>128.571428571429</v>
      </c>
      <c r="N22" s="24" t="n">
        <f aca="false">$L$9</f>
        <v>25</v>
      </c>
      <c r="O22" s="26" t="n">
        <f aca="false">I22/((100-(J22+K22+L22+N22))/100)</f>
        <v>232.258064516129</v>
      </c>
    </row>
    <row r="23" customFormat="false" ht="15" hidden="false" customHeight="false" outlineLevel="0" collapsed="false">
      <c r="H23" s="21" t="str">
        <f aca="false">$H$10</f>
        <v>Vestido midi</v>
      </c>
      <c r="I23" s="22" t="n">
        <f aca="false">$I$10</f>
        <v>44</v>
      </c>
      <c r="J23" s="22" t="n">
        <f aca="false">$C$36</f>
        <v>18</v>
      </c>
      <c r="K23" s="22" t="n">
        <f aca="false">$C$35</f>
        <v>6</v>
      </c>
      <c r="L23" s="22" t="n">
        <f aca="false">$C$37</f>
        <v>20</v>
      </c>
      <c r="M23" s="9" t="n">
        <f aca="false">I23/((100-(J23+K23+L23))/100)</f>
        <v>78.5714285714286</v>
      </c>
      <c r="N23" s="24" t="n">
        <f aca="false">$L$10</f>
        <v>18</v>
      </c>
      <c r="O23" s="26" t="n">
        <f aca="false">I23/((100-(J23+K23+L23+N23))/100)</f>
        <v>115.789473684211</v>
      </c>
    </row>
    <row r="24" customFormat="false" ht="15" hidden="false" customHeight="false" outlineLevel="0" collapsed="false">
      <c r="B24" s="10" t="s">
        <v>40</v>
      </c>
      <c r="C24" s="11" t="n">
        <f aca="false">SUM(C25:C29)</f>
        <v>64000</v>
      </c>
      <c r="D24" s="12" t="n">
        <f aca="false">C24/$C$8</f>
        <v>0.2</v>
      </c>
      <c r="H24" s="21" t="str">
        <f aca="false">$H$11</f>
        <v>Bermuda sarja</v>
      </c>
      <c r="I24" s="22" t="n">
        <f aca="false">$I$11</f>
        <v>21</v>
      </c>
      <c r="J24" s="22" t="n">
        <f aca="false">$C$36</f>
        <v>18</v>
      </c>
      <c r="K24" s="22" t="n">
        <f aca="false">$C$35</f>
        <v>6</v>
      </c>
      <c r="L24" s="22" t="n">
        <f aca="false">$C$37</f>
        <v>20</v>
      </c>
      <c r="M24" s="9" t="n">
        <f aca="false">I24/((100-(J24+K24+L24))/100)</f>
        <v>37.5</v>
      </c>
      <c r="N24" s="24" t="n">
        <f aca="false">$L$11</f>
        <v>12</v>
      </c>
      <c r="O24" s="26" t="n">
        <f aca="false">I24/((100-(J24+K24+L24+N24))/100)</f>
        <v>47.7272727272727</v>
      </c>
    </row>
    <row r="25" customFormat="false" ht="15" hidden="false" customHeight="false" outlineLevel="0" collapsed="false">
      <c r="B25" s="14" t="s">
        <v>126</v>
      </c>
      <c r="C25" s="15" t="n">
        <v>28000</v>
      </c>
      <c r="D25" s="16" t="n">
        <f aca="false">C25/$C$8</f>
        <v>0.0875</v>
      </c>
      <c r="H25" s="27" t="s">
        <v>49</v>
      </c>
    </row>
    <row r="26" customFormat="false" ht="15" hidden="false" customHeight="false" outlineLevel="0" collapsed="false">
      <c r="B26" s="14" t="s">
        <v>127</v>
      </c>
      <c r="C26" s="15" t="n">
        <v>14000</v>
      </c>
      <c r="D26" s="16" t="n">
        <f aca="false">C26/$C$8</f>
        <v>0.04375</v>
      </c>
    </row>
    <row r="27" customFormat="false" ht="16.15" hidden="false" customHeight="false" outlineLevel="0" collapsed="false">
      <c r="B27" s="14" t="s">
        <v>128</v>
      </c>
      <c r="C27" s="15" t="n">
        <v>4000</v>
      </c>
      <c r="D27" s="16" t="n">
        <f aca="false">C27/$C$8</f>
        <v>0.0125</v>
      </c>
      <c r="H27" s="25" t="s">
        <v>101</v>
      </c>
      <c r="I27" s="25"/>
      <c r="J27" s="25"/>
      <c r="K27" s="25"/>
      <c r="L27" s="25"/>
      <c r="M27" s="25"/>
      <c r="N27" s="25"/>
      <c r="O27" s="25"/>
    </row>
    <row r="28" customFormat="false" ht="30" hidden="false" customHeight="true" outlineLevel="0" collapsed="false">
      <c r="B28" s="14" t="s">
        <v>129</v>
      </c>
      <c r="C28" s="15" t="n">
        <v>6000</v>
      </c>
      <c r="D28" s="16" t="n">
        <f aca="false">C28/$C$8</f>
        <v>0.01875</v>
      </c>
      <c r="H28" s="20" t="s">
        <v>34</v>
      </c>
      <c r="I28" s="20" t="s">
        <v>35</v>
      </c>
      <c r="J28" s="20" t="s">
        <v>41</v>
      </c>
      <c r="K28" s="20" t="s">
        <v>42</v>
      </c>
      <c r="L28" s="20" t="s">
        <v>102</v>
      </c>
      <c r="M28" s="20" t="s">
        <v>44</v>
      </c>
      <c r="N28" s="20" t="s">
        <v>45</v>
      </c>
      <c r="O28" s="20" t="s">
        <v>46</v>
      </c>
    </row>
    <row r="29" customFormat="false" ht="15" hidden="false" customHeight="false" outlineLevel="0" collapsed="false">
      <c r="B29" s="14" t="s">
        <v>130</v>
      </c>
      <c r="C29" s="15" t="n">
        <v>12000</v>
      </c>
      <c r="D29" s="16" t="n">
        <f aca="false">C29/$C$8</f>
        <v>0.0375</v>
      </c>
      <c r="H29" s="21" t="str">
        <f aca="false">$H$7</f>
        <v>Camiseta básica</v>
      </c>
      <c r="I29" s="22" t="n">
        <f aca="false">$I$7</f>
        <v>9.6</v>
      </c>
      <c r="J29" s="22" t="n">
        <f aca="false">$C$36</f>
        <v>18</v>
      </c>
      <c r="K29" s="22" t="n">
        <f aca="false">$C$35</f>
        <v>6</v>
      </c>
      <c r="L29" s="9" t="n">
        <f aca="false">$J$15</f>
        <v>6.4</v>
      </c>
      <c r="M29" s="9" t="n">
        <f aca="false">(I29+L29)/((100-(J29+K29))/100)</f>
        <v>21.0526315789474</v>
      </c>
      <c r="N29" s="24" t="n">
        <f aca="false">$L$7</f>
        <v>15</v>
      </c>
      <c r="O29" s="26" t="n">
        <f aca="false">(I29+L29)/((100-(J29+K29+N29))/100)</f>
        <v>26.2295081967213</v>
      </c>
    </row>
    <row r="30" customFormat="false" ht="15" hidden="false" customHeight="false" outlineLevel="0" collapsed="false">
      <c r="H30" s="21" t="str">
        <f aca="false">$H$8</f>
        <v>Calça jeans</v>
      </c>
      <c r="I30" s="22" t="n">
        <f aca="false">$I$8</f>
        <v>38.5</v>
      </c>
      <c r="J30" s="22" t="n">
        <f aca="false">$C$36</f>
        <v>18</v>
      </c>
      <c r="K30" s="22" t="n">
        <f aca="false">$C$35</f>
        <v>6</v>
      </c>
      <c r="L30" s="9" t="n">
        <f aca="false">$J$15</f>
        <v>6.4</v>
      </c>
      <c r="M30" s="9" t="n">
        <f aca="false">(I30+L30)/((100-(J30+K30))/100)</f>
        <v>59.0789473684211</v>
      </c>
      <c r="N30" s="24" t="n">
        <f aca="false">$L$8</f>
        <v>20</v>
      </c>
      <c r="O30" s="26" t="n">
        <f aca="false">(I30+L30)/((100-(J30+K30+N30))/100)</f>
        <v>80.1785714285714</v>
      </c>
    </row>
    <row r="31" customFormat="false" ht="15" hidden="false" customHeight="false" outlineLevel="0" collapsed="false">
      <c r="B31" s="28" t="s">
        <v>59</v>
      </c>
      <c r="C31" s="11" t="n">
        <f aca="false">C22-C24</f>
        <v>83200</v>
      </c>
      <c r="D31" s="12" t="n">
        <f aca="false">C31/$C$8</f>
        <v>0.26</v>
      </c>
      <c r="H31" s="21" t="str">
        <f aca="false">$H$9</f>
        <v>Jaqueta jeans</v>
      </c>
      <c r="I31" s="22" t="n">
        <f aca="false">$I$9</f>
        <v>72</v>
      </c>
      <c r="J31" s="22" t="n">
        <f aca="false">$C$36</f>
        <v>18</v>
      </c>
      <c r="K31" s="22" t="n">
        <f aca="false">$C$35</f>
        <v>6</v>
      </c>
      <c r="L31" s="9" t="n">
        <f aca="false">$J$15</f>
        <v>6.4</v>
      </c>
      <c r="M31" s="9" t="n">
        <f aca="false">(I31+L31)/((100-(J31+K31))/100)</f>
        <v>103.157894736842</v>
      </c>
      <c r="N31" s="24" t="n">
        <f aca="false">$L$9</f>
        <v>25</v>
      </c>
      <c r="O31" s="26" t="n">
        <f aca="false">(I31+L31)/((100-(J31+K31+N31))/100)</f>
        <v>153.725490196078</v>
      </c>
    </row>
    <row r="32" customFormat="false" ht="15" hidden="false" customHeight="false" outlineLevel="0" collapsed="false">
      <c r="H32" s="21" t="str">
        <f aca="false">$H$10</f>
        <v>Vestido midi</v>
      </c>
      <c r="I32" s="22" t="n">
        <f aca="false">$I$10</f>
        <v>44</v>
      </c>
      <c r="J32" s="22" t="n">
        <f aca="false">$C$36</f>
        <v>18</v>
      </c>
      <c r="K32" s="22" t="n">
        <f aca="false">$C$35</f>
        <v>6</v>
      </c>
      <c r="L32" s="9" t="n">
        <f aca="false">$J$15</f>
        <v>6.4</v>
      </c>
      <c r="M32" s="9" t="n">
        <f aca="false">(I32+L32)/((100-(J32+K32))/100)</f>
        <v>66.3157894736842</v>
      </c>
      <c r="N32" s="24" t="n">
        <f aca="false">$L$10</f>
        <v>18</v>
      </c>
      <c r="O32" s="26" t="n">
        <f aca="false">(I32+L32)/((100-(J32+K32+N32))/100)</f>
        <v>86.8965517241379</v>
      </c>
    </row>
    <row r="33" customFormat="false" ht="15" hidden="false" customHeight="false" outlineLevel="0" collapsed="false">
      <c r="H33" s="21" t="str">
        <f aca="false">$H$11</f>
        <v>Bermuda sarja</v>
      </c>
      <c r="I33" s="22" t="n">
        <f aca="false">$I$11</f>
        <v>21</v>
      </c>
      <c r="J33" s="22" t="n">
        <f aca="false">$C$36</f>
        <v>18</v>
      </c>
      <c r="K33" s="22" t="n">
        <f aca="false">$C$35</f>
        <v>6</v>
      </c>
      <c r="L33" s="9" t="n">
        <f aca="false">$J$15</f>
        <v>6.4</v>
      </c>
      <c r="M33" s="9" t="n">
        <f aca="false">(I33+L33)/((100-(J33+K33))/100)</f>
        <v>36.0526315789474</v>
      </c>
      <c r="N33" s="24" t="n">
        <f aca="false">$L$11</f>
        <v>12</v>
      </c>
      <c r="O33" s="26" t="n">
        <f aca="false">(I33+L33)/((100-(J33+K33+N33))/100)</f>
        <v>42.8125</v>
      </c>
    </row>
    <row r="34" customFormat="false" ht="15" hidden="false" customHeight="false" outlineLevel="0" collapsed="false">
      <c r="B34" s="29" t="s">
        <v>60</v>
      </c>
      <c r="C34" s="29"/>
      <c r="H34" s="27" t="s">
        <v>103</v>
      </c>
    </row>
    <row r="35" customFormat="false" ht="15" hidden="false" customHeight="false" outlineLevel="0" collapsed="false">
      <c r="B35" s="14" t="s">
        <v>61</v>
      </c>
      <c r="C35" s="22" t="n">
        <f aca="false">(D15-D16)*100</f>
        <v>6</v>
      </c>
    </row>
    <row r="36" customFormat="false" ht="16.15" hidden="false" customHeight="false" outlineLevel="0" collapsed="false">
      <c r="B36" s="14" t="s">
        <v>41</v>
      </c>
      <c r="C36" s="22" t="n">
        <f aca="false">D10*100</f>
        <v>18</v>
      </c>
      <c r="H36" s="25" t="s">
        <v>104</v>
      </c>
      <c r="I36" s="25"/>
      <c r="J36" s="25"/>
      <c r="K36" s="25"/>
      <c r="L36" s="25"/>
      <c r="M36" s="25"/>
      <c r="N36" s="25"/>
      <c r="O36" s="25"/>
    </row>
    <row r="37" customFormat="false" ht="30" hidden="false" customHeight="true" outlineLevel="0" collapsed="false">
      <c r="B37" s="14" t="s">
        <v>62</v>
      </c>
      <c r="C37" s="22" t="n">
        <f aca="false">D24*100</f>
        <v>20</v>
      </c>
      <c r="H37" s="20" t="s">
        <v>34</v>
      </c>
      <c r="I37" s="20" t="s">
        <v>35</v>
      </c>
      <c r="J37" s="20" t="s">
        <v>41</v>
      </c>
      <c r="K37" s="20" t="s">
        <v>42</v>
      </c>
      <c r="L37" s="20" t="s">
        <v>102</v>
      </c>
      <c r="M37" s="20" t="s">
        <v>44</v>
      </c>
      <c r="N37" s="20" t="s">
        <v>45</v>
      </c>
      <c r="O37" s="20" t="s">
        <v>46</v>
      </c>
    </row>
    <row r="38" customFormat="false" ht="15" hidden="false" customHeight="false" outlineLevel="0" collapsed="false">
      <c r="B38" s="14" t="s">
        <v>63</v>
      </c>
      <c r="C38" s="22" t="n">
        <f aca="false">D22*100</f>
        <v>46</v>
      </c>
      <c r="H38" s="21" t="str">
        <f aca="false">$H$7</f>
        <v>Camiseta básica</v>
      </c>
      <c r="I38" s="22" t="n">
        <f aca="false">$I$7</f>
        <v>9.6</v>
      </c>
      <c r="J38" s="22" t="n">
        <f aca="false">$C$36</f>
        <v>18</v>
      </c>
      <c r="K38" s="22" t="n">
        <f aca="false">$C$35</f>
        <v>6</v>
      </c>
      <c r="L38" s="9" t="n">
        <f aca="false">$J$16</f>
        <v>8</v>
      </c>
      <c r="M38" s="9" t="n">
        <f aca="false">(I38+L38)/((100-(J38+K38))/100)</f>
        <v>23.1578947368421</v>
      </c>
      <c r="N38" s="24" t="n">
        <f aca="false">$L$7</f>
        <v>15</v>
      </c>
      <c r="O38" s="26" t="n">
        <f aca="false">(I38+L38)/((100-(J38+K38+N38))/100)</f>
        <v>28.8524590163934</v>
      </c>
    </row>
    <row r="39" customFormat="false" ht="15" hidden="false" customHeight="false" outlineLevel="0" collapsed="false">
      <c r="H39" s="21" t="str">
        <f aca="false">$H$8</f>
        <v>Calça jeans</v>
      </c>
      <c r="I39" s="22" t="n">
        <f aca="false">$I$8</f>
        <v>38.5</v>
      </c>
      <c r="J39" s="22" t="n">
        <f aca="false">$C$36</f>
        <v>18</v>
      </c>
      <c r="K39" s="22" t="n">
        <f aca="false">$C$35</f>
        <v>6</v>
      </c>
      <c r="L39" s="9" t="n">
        <f aca="false">$J$16</f>
        <v>8</v>
      </c>
      <c r="M39" s="9" t="n">
        <f aca="false">(I39+L39)/((100-(J39+K39))/100)</f>
        <v>61.1842105263158</v>
      </c>
      <c r="N39" s="24" t="n">
        <f aca="false">$L$8</f>
        <v>20</v>
      </c>
      <c r="O39" s="26" t="n">
        <f aca="false">(I39+L39)/((100-(J39+K39+N39))/100)</f>
        <v>83.0357142857143</v>
      </c>
    </row>
    <row r="40" customFormat="false" ht="15" hidden="false" customHeight="false" outlineLevel="0" collapsed="false">
      <c r="H40" s="21" t="str">
        <f aca="false">$H$9</f>
        <v>Jaqueta jeans</v>
      </c>
      <c r="I40" s="22" t="n">
        <f aca="false">$I$9</f>
        <v>72</v>
      </c>
      <c r="J40" s="22" t="n">
        <f aca="false">$C$36</f>
        <v>18</v>
      </c>
      <c r="K40" s="22" t="n">
        <f aca="false">$C$35</f>
        <v>6</v>
      </c>
      <c r="L40" s="9" t="n">
        <f aca="false">$J$16</f>
        <v>8</v>
      </c>
      <c r="M40" s="9" t="n">
        <f aca="false">(I40+L40)/((100-(J40+K40))/100)</f>
        <v>105.263157894737</v>
      </c>
      <c r="N40" s="24" t="n">
        <f aca="false">$L$9</f>
        <v>25</v>
      </c>
      <c r="O40" s="26" t="n">
        <f aca="false">(I40+L40)/((100-(J40+K40+N40))/100)</f>
        <v>156.862745098039</v>
      </c>
    </row>
    <row r="41" customFormat="false" ht="15" hidden="false" customHeight="false" outlineLevel="0" collapsed="false">
      <c r="H41" s="21" t="str">
        <f aca="false">$H$10</f>
        <v>Vestido midi</v>
      </c>
      <c r="I41" s="22" t="n">
        <f aca="false">$I$10</f>
        <v>44</v>
      </c>
      <c r="J41" s="22" t="n">
        <f aca="false">$C$36</f>
        <v>18</v>
      </c>
      <c r="K41" s="22" t="n">
        <f aca="false">$C$35</f>
        <v>6</v>
      </c>
      <c r="L41" s="9" t="n">
        <f aca="false">$J$16</f>
        <v>8</v>
      </c>
      <c r="M41" s="9" t="n">
        <f aca="false">(I41+L41)/((100-(J41+K41))/100)</f>
        <v>68.421052631579</v>
      </c>
      <c r="N41" s="24" t="n">
        <f aca="false">$L$10</f>
        <v>18</v>
      </c>
      <c r="O41" s="26" t="n">
        <f aca="false">(I41+L41)/((100-(J41+K41+N41))/100)</f>
        <v>89.6551724137931</v>
      </c>
    </row>
    <row r="42" customFormat="false" ht="15" hidden="false" customHeight="false" outlineLevel="0" collapsed="false">
      <c r="H42" s="21" t="str">
        <f aca="false">$H$11</f>
        <v>Bermuda sarja</v>
      </c>
      <c r="I42" s="22" t="n">
        <f aca="false">$I$11</f>
        <v>21</v>
      </c>
      <c r="J42" s="22" t="n">
        <f aca="false">$C$36</f>
        <v>18</v>
      </c>
      <c r="K42" s="22" t="n">
        <f aca="false">$C$35</f>
        <v>6</v>
      </c>
      <c r="L42" s="9" t="n">
        <f aca="false">$J$16</f>
        <v>8</v>
      </c>
      <c r="M42" s="9" t="n">
        <f aca="false">(I42+L42)/((100-(J42+K42))/100)</f>
        <v>38.1578947368421</v>
      </c>
      <c r="N42" s="24" t="n">
        <f aca="false">$L$11</f>
        <v>12</v>
      </c>
      <c r="O42" s="26" t="n">
        <f aca="false">(I42+L42)/((100-(J42+K42+N42))/100)</f>
        <v>45.3125</v>
      </c>
    </row>
    <row r="43" customFormat="false" ht="15" hidden="false" customHeight="false" outlineLevel="0" collapsed="false">
      <c r="H43" s="27" t="s">
        <v>103</v>
      </c>
    </row>
    <row r="45" customFormat="false" ht="16.15" hidden="false" customHeight="false" outlineLevel="0" collapsed="false">
      <c r="H45" s="5" t="s">
        <v>131</v>
      </c>
      <c r="I45" s="5"/>
      <c r="J45" s="5"/>
      <c r="K45" s="5"/>
      <c r="L45" s="5"/>
    </row>
    <row r="46" customFormat="false" ht="30" hidden="false" customHeight="true" outlineLevel="0" collapsed="false">
      <c r="H46" s="20" t="s">
        <v>34</v>
      </c>
      <c r="I46" s="20" t="s">
        <v>132</v>
      </c>
      <c r="J46" s="20" t="s">
        <v>133</v>
      </c>
      <c r="K46" s="20" t="s">
        <v>134</v>
      </c>
      <c r="L46" s="20" t="s">
        <v>135</v>
      </c>
    </row>
    <row r="47" customFormat="false" ht="15" hidden="false" customHeight="false" outlineLevel="0" collapsed="false">
      <c r="H47" s="21" t="str">
        <f aca="false">H20</f>
        <v>Camiseta básica</v>
      </c>
      <c r="I47" s="9" t="n">
        <f aca="false">O20</f>
        <v>23.4146341463415</v>
      </c>
      <c r="J47" s="9" t="n">
        <f aca="false">O29</f>
        <v>26.2295081967213</v>
      </c>
      <c r="K47" s="9" t="n">
        <f aca="false">O38</f>
        <v>28.8524590163934</v>
      </c>
      <c r="L47" s="37" t="n">
        <f aca="false">MAX(I47:K47)/MIN(I47:K47)-1</f>
        <v>0.23224043715847</v>
      </c>
    </row>
    <row r="48" customFormat="false" ht="15" hidden="false" customHeight="false" outlineLevel="0" collapsed="false">
      <c r="H48" s="21" t="str">
        <f aca="false">H21</f>
        <v>Calça jeans</v>
      </c>
      <c r="I48" s="9" t="n">
        <f aca="false">O21</f>
        <v>106.944444444444</v>
      </c>
      <c r="J48" s="9" t="n">
        <f aca="false">O30</f>
        <v>80.1785714285714</v>
      </c>
      <c r="K48" s="9" t="n">
        <f aca="false">O39</f>
        <v>83.0357142857143</v>
      </c>
      <c r="L48" s="37" t="n">
        <f aca="false">MAX(I48:K48)/MIN(I48:K48)-1</f>
        <v>0.333828260331601</v>
      </c>
    </row>
    <row r="49" customFormat="false" ht="15" hidden="false" customHeight="false" outlineLevel="0" collapsed="false">
      <c r="H49" s="21" t="str">
        <f aca="false">H22</f>
        <v>Jaqueta jeans</v>
      </c>
      <c r="I49" s="9" t="n">
        <f aca="false">O22</f>
        <v>232.258064516129</v>
      </c>
      <c r="J49" s="9" t="n">
        <f aca="false">O31</f>
        <v>153.725490196078</v>
      </c>
      <c r="K49" s="9" t="n">
        <f aca="false">O40</f>
        <v>156.862745098039</v>
      </c>
      <c r="L49" s="37" t="n">
        <f aca="false">MAX(I49:K49)/MIN(I49:K49)-1</f>
        <v>0.510862409479921</v>
      </c>
    </row>
    <row r="50" customFormat="false" ht="15" hidden="false" customHeight="false" outlineLevel="0" collapsed="false">
      <c r="H50" s="21" t="str">
        <f aca="false">H23</f>
        <v>Vestido midi</v>
      </c>
      <c r="I50" s="9" t="n">
        <f aca="false">O23</f>
        <v>115.789473684211</v>
      </c>
      <c r="J50" s="9" t="n">
        <f aca="false">O32</f>
        <v>86.8965517241379</v>
      </c>
      <c r="K50" s="9" t="n">
        <f aca="false">O41</f>
        <v>89.6551724137931</v>
      </c>
      <c r="L50" s="37" t="n">
        <f aca="false">MAX(I50:K50)/MIN(I50:K50)-1</f>
        <v>0.33249791144528</v>
      </c>
    </row>
    <row r="51" customFormat="false" ht="15" hidden="false" customHeight="false" outlineLevel="0" collapsed="false">
      <c r="H51" s="21" t="str">
        <f aca="false">H24</f>
        <v>Bermuda sarja</v>
      </c>
      <c r="I51" s="9" t="n">
        <f aca="false">O24</f>
        <v>47.7272727272727</v>
      </c>
      <c r="J51" s="9" t="n">
        <f aca="false">O33</f>
        <v>42.8125</v>
      </c>
      <c r="K51" s="9" t="n">
        <f aca="false">O42</f>
        <v>45.3125</v>
      </c>
      <c r="L51" s="37" t="n">
        <f aca="false">MAX(I51:K51)/MIN(I51:K51)-1</f>
        <v>0.114797611147976</v>
      </c>
    </row>
    <row r="53" customFormat="false" ht="16.15" hidden="false" customHeight="false" outlineLevel="0" collapsed="false">
      <c r="H53" s="5" t="s">
        <v>136</v>
      </c>
      <c r="I53" s="5"/>
      <c r="J53" s="5"/>
    </row>
    <row r="54" customFormat="false" ht="30" hidden="false" customHeight="true" outlineLevel="0" collapsed="false">
      <c r="H54" s="30" t="s">
        <v>137</v>
      </c>
      <c r="I54" s="30"/>
      <c r="J54" s="22" t="n">
        <f aca="false">(100-($C$36+$C$35+$C$37))/100</f>
        <v>0.56</v>
      </c>
    </row>
    <row r="55" customFormat="false" ht="30" hidden="false" customHeight="true" outlineLevel="0" collapsed="false">
      <c r="H55" s="30" t="s">
        <v>138</v>
      </c>
      <c r="I55" s="30"/>
      <c r="J55" s="22" t="n">
        <f aca="false">(100-($C$36+$C$35))/100</f>
        <v>0.76</v>
      </c>
    </row>
    <row r="56" customFormat="false" ht="30" hidden="false" customHeight="true" outlineLevel="0" collapsed="false">
      <c r="H56" s="30" t="s">
        <v>139</v>
      </c>
      <c r="I56" s="30"/>
      <c r="J56" s="26" t="n">
        <f aca="false">$J$15*J54/(J55-J54)</f>
        <v>17.92</v>
      </c>
    </row>
    <row r="58" customFormat="false" ht="15" hidden="false" customHeight="false" outlineLevel="0" collapsed="false">
      <c r="H58" s="33" t="s">
        <v>140</v>
      </c>
      <c r="I58" s="33"/>
      <c r="J58" s="33"/>
      <c r="K58" s="33"/>
      <c r="L58" s="33"/>
      <c r="M58" s="33"/>
      <c r="N58" s="33"/>
      <c r="O58" s="33"/>
    </row>
    <row r="59" customFormat="false" ht="49.5" hidden="false" customHeight="true" outlineLevel="0" collapsed="false">
      <c r="H59" s="34" t="s">
        <v>141</v>
      </c>
      <c r="I59" s="34"/>
      <c r="J59" s="34"/>
      <c r="K59" s="34"/>
      <c r="L59" s="34"/>
      <c r="M59" s="34"/>
      <c r="N59" s="34"/>
      <c r="O59" s="34"/>
    </row>
  </sheetData>
  <mergeCells count="18">
    <mergeCell ref="B2:O2"/>
    <mergeCell ref="B4:D4"/>
    <mergeCell ref="B5:D5"/>
    <mergeCell ref="H5:L5"/>
    <mergeCell ref="H14:J14"/>
    <mergeCell ref="H15:I15"/>
    <mergeCell ref="H16:I16"/>
    <mergeCell ref="H18:O18"/>
    <mergeCell ref="H27:O27"/>
    <mergeCell ref="B34:C34"/>
    <mergeCell ref="H36:O36"/>
    <mergeCell ref="H45:L45"/>
    <mergeCell ref="H53:J53"/>
    <mergeCell ref="H54:I54"/>
    <mergeCell ref="H55:I55"/>
    <mergeCell ref="H56:I56"/>
    <mergeCell ref="H58:O58"/>
    <mergeCell ref="H59:O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O67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2"/>
    <col collapsed="false" customWidth="true" hidden="false" outlineLevel="0" max="3" min="3" style="0" width="19"/>
    <col collapsed="false" customWidth="true" hidden="false" outlineLevel="0" max="4" min="4" style="0" width="10"/>
    <col collapsed="false" customWidth="true" hidden="false" outlineLevel="0" max="7" min="5" style="0" width="3"/>
    <col collapsed="false" customWidth="true" hidden="false" outlineLevel="0" max="8" min="8" style="0" width="34"/>
    <col collapsed="false" customWidth="true" hidden="false" outlineLevel="0" max="9" min="9" style="0" width="14"/>
    <col collapsed="false" customWidth="true" hidden="false" outlineLevel="0" max="10" min="10" style="0" width="18"/>
    <col collapsed="false" customWidth="true" hidden="false" outlineLevel="0" max="13" min="11" style="0" width="16"/>
    <col collapsed="false" customWidth="true" hidden="false" outlineLevel="0" max="14" min="14" style="0" width="10"/>
    <col collapsed="false" customWidth="true" hidden="false" outlineLevel="0" max="15" min="15" style="0" width="17"/>
  </cols>
  <sheetData>
    <row r="2" customFormat="false" ht="15" hidden="false" customHeight="false" outlineLevel="0" collapsed="false">
      <c r="B2" s="1" t="s">
        <v>142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4" customFormat="false" ht="17.35" hidden="false" customHeight="false" outlineLevel="0" collapsed="false">
      <c r="B4" s="3" t="s">
        <v>2</v>
      </c>
      <c r="C4" s="3"/>
      <c r="D4" s="3"/>
    </row>
    <row r="5" customFormat="false" ht="16.15" hidden="false" customHeight="false" outlineLevel="0" collapsed="false">
      <c r="B5" s="4" t="s">
        <v>143</v>
      </c>
      <c r="C5" s="4"/>
      <c r="D5" s="4"/>
      <c r="H5" s="5" t="s">
        <v>4</v>
      </c>
      <c r="I5" s="5"/>
      <c r="J5" s="5"/>
    </row>
    <row r="6" customFormat="false" ht="15" hidden="false" customHeight="false" outlineLevel="0" collapsed="false">
      <c r="B6" s="6" t="s">
        <v>5</v>
      </c>
      <c r="C6" s="6" t="s">
        <v>6</v>
      </c>
      <c r="D6" s="7" t="s">
        <v>7</v>
      </c>
      <c r="H6" s="8" t="s">
        <v>8</v>
      </c>
      <c r="I6" s="8"/>
      <c r="J6" s="9" t="n">
        <f aca="false">C8</f>
        <v>250000</v>
      </c>
    </row>
    <row r="7" customFormat="false" ht="15" hidden="false" customHeight="false" outlineLevel="0" collapsed="false">
      <c r="H7" s="8" t="s">
        <v>9</v>
      </c>
      <c r="I7" s="8"/>
      <c r="J7" s="9" t="n">
        <f aca="false">C19</f>
        <v>87500</v>
      </c>
    </row>
    <row r="8" customFormat="false" ht="15" hidden="false" customHeight="false" outlineLevel="0" collapsed="false">
      <c r="B8" s="10" t="s">
        <v>10</v>
      </c>
      <c r="C8" s="11" t="n">
        <v>250000</v>
      </c>
      <c r="D8" s="12" t="n">
        <f aca="false">C8/$C$8</f>
        <v>1</v>
      </c>
      <c r="H8" s="8" t="s">
        <v>11</v>
      </c>
      <c r="I8" s="8"/>
      <c r="J8" s="13" t="n">
        <f aca="false">D19</f>
        <v>0.35</v>
      </c>
    </row>
    <row r="9" customFormat="false" ht="15" hidden="false" customHeight="false" outlineLevel="0" collapsed="false">
      <c r="H9" s="8" t="s">
        <v>12</v>
      </c>
      <c r="I9" s="8"/>
      <c r="J9" s="9" t="n">
        <f aca="false">C21</f>
        <v>50000</v>
      </c>
    </row>
    <row r="10" customFormat="false" ht="15" hidden="false" customHeight="false" outlineLevel="0" collapsed="false">
      <c r="B10" s="10" t="s">
        <v>13</v>
      </c>
      <c r="C10" s="11" t="n">
        <f aca="false">SUM(C11:C11)</f>
        <v>37500</v>
      </c>
      <c r="D10" s="12" t="n">
        <f aca="false">C10/$C$8</f>
        <v>0.15</v>
      </c>
      <c r="H10" s="8" t="s">
        <v>14</v>
      </c>
      <c r="I10" s="8"/>
      <c r="J10" s="9" t="n">
        <f aca="false">C22</f>
        <v>10000</v>
      </c>
    </row>
    <row r="11" customFormat="false" ht="15" hidden="false" customHeight="false" outlineLevel="0" collapsed="false">
      <c r="B11" s="14" t="s">
        <v>95</v>
      </c>
      <c r="C11" s="15" t="n">
        <v>37500</v>
      </c>
      <c r="D11" s="16" t="n">
        <f aca="false">C11/$C$8</f>
        <v>0.15</v>
      </c>
      <c r="H11" s="8" t="s">
        <v>16</v>
      </c>
      <c r="I11" s="8"/>
      <c r="J11" s="9" t="n">
        <v>1200000</v>
      </c>
    </row>
    <row r="12" customFormat="false" ht="15" hidden="false" customHeight="false" outlineLevel="0" collapsed="false">
      <c r="H12" s="8" t="s">
        <v>18</v>
      </c>
      <c r="I12" s="8"/>
      <c r="J12" s="13" t="n">
        <v>0.0125</v>
      </c>
    </row>
    <row r="13" customFormat="false" ht="15" hidden="false" customHeight="false" outlineLevel="0" collapsed="false">
      <c r="B13" s="10" t="s">
        <v>23</v>
      </c>
      <c r="C13" s="11" t="n">
        <f aca="false">SUM(C14:C15)</f>
        <v>125000</v>
      </c>
      <c r="D13" s="12" t="n">
        <f aca="false">C13/$C$8</f>
        <v>0.5</v>
      </c>
      <c r="H13" s="8" t="s">
        <v>20</v>
      </c>
      <c r="I13" s="8"/>
      <c r="J13" s="9" t="n">
        <f aca="false">J11*J12</f>
        <v>15000</v>
      </c>
    </row>
    <row r="14" customFormat="false" ht="15" hidden="false" customHeight="false" outlineLevel="0" collapsed="false">
      <c r="B14" s="14" t="s">
        <v>144</v>
      </c>
      <c r="C14" s="15" t="n">
        <v>100000</v>
      </c>
      <c r="D14" s="16" t="n">
        <f aca="false">C14/$C$8</f>
        <v>0.4</v>
      </c>
    </row>
    <row r="15" customFormat="false" ht="31.5" hidden="false" customHeight="true" outlineLevel="0" collapsed="false">
      <c r="B15" s="14" t="s">
        <v>100</v>
      </c>
      <c r="C15" s="15" t="n">
        <v>25000</v>
      </c>
      <c r="D15" s="16" t="n">
        <f aca="false">C15/$C$8</f>
        <v>0.1</v>
      </c>
      <c r="H15" s="17" t="s">
        <v>22</v>
      </c>
      <c r="I15" s="17"/>
      <c r="J15" s="18" t="n">
        <f aca="false">(J9-J10)/J8</f>
        <v>114285.714285714</v>
      </c>
    </row>
    <row r="16" customFormat="false" ht="31.5" hidden="false" customHeight="true" outlineLevel="0" collapsed="false">
      <c r="H16" s="17" t="s">
        <v>24</v>
      </c>
      <c r="I16" s="17"/>
      <c r="J16" s="18" t="n">
        <f aca="false">J9/J8</f>
        <v>142857.142857143</v>
      </c>
    </row>
    <row r="17" customFormat="false" ht="31.5" hidden="false" customHeight="true" outlineLevel="0" collapsed="false">
      <c r="B17" s="10" t="s">
        <v>33</v>
      </c>
      <c r="C17" s="11" t="n">
        <f aca="false">C10+C13</f>
        <v>162500</v>
      </c>
      <c r="D17" s="12" t="n">
        <f aca="false">C17/$C$8</f>
        <v>0.65</v>
      </c>
      <c r="H17" s="17" t="s">
        <v>26</v>
      </c>
      <c r="I17" s="17"/>
      <c r="J17" s="18" t="n">
        <f aca="false">(J9+J13)/J8</f>
        <v>185714.285714286</v>
      </c>
    </row>
    <row r="19" customFormat="false" ht="16.15" hidden="false" customHeight="false" outlineLevel="0" collapsed="false">
      <c r="B19" s="10" t="s">
        <v>38</v>
      </c>
      <c r="C19" s="11" t="n">
        <f aca="false">C8-C17</f>
        <v>87500</v>
      </c>
      <c r="D19" s="12" t="n">
        <f aca="false">C19/$C$8</f>
        <v>0.35</v>
      </c>
      <c r="H19" s="5" t="s">
        <v>88</v>
      </c>
      <c r="I19" s="5"/>
      <c r="J19" s="5"/>
      <c r="K19" s="5"/>
      <c r="L19" s="5"/>
      <c r="M19" s="5"/>
    </row>
    <row r="20" customFormat="false" ht="30" hidden="false" customHeight="true" outlineLevel="0" collapsed="false">
      <c r="H20" s="20" t="s">
        <v>34</v>
      </c>
      <c r="I20" s="20" t="s">
        <v>68</v>
      </c>
      <c r="J20" s="20" t="s">
        <v>89</v>
      </c>
      <c r="K20" s="20" t="s">
        <v>90</v>
      </c>
      <c r="L20" s="20" t="s">
        <v>36</v>
      </c>
      <c r="M20" s="20" t="s">
        <v>145</v>
      </c>
    </row>
    <row r="21" customFormat="false" ht="15" hidden="false" customHeight="false" outlineLevel="0" collapsed="false">
      <c r="B21" s="10" t="s">
        <v>40</v>
      </c>
      <c r="C21" s="11" t="n">
        <f aca="false">SUM(C22:C23)</f>
        <v>50000</v>
      </c>
      <c r="D21" s="12" t="n">
        <f aca="false">C21/$C$8</f>
        <v>0.2</v>
      </c>
      <c r="H21" s="21" t="s">
        <v>146</v>
      </c>
      <c r="I21" s="22" t="n">
        <v>6.3</v>
      </c>
      <c r="J21" s="35" t="n">
        <v>6500</v>
      </c>
      <c r="K21" s="35" t="n">
        <v>5000</v>
      </c>
      <c r="L21" s="24" t="n">
        <v>10</v>
      </c>
      <c r="M21" s="9" t="n">
        <v>19.9</v>
      </c>
    </row>
    <row r="22" customFormat="false" ht="15" hidden="false" customHeight="false" outlineLevel="0" collapsed="false">
      <c r="B22" s="14" t="s">
        <v>147</v>
      </c>
      <c r="C22" s="15" t="n">
        <v>10000</v>
      </c>
      <c r="D22" s="16" t="n">
        <f aca="false">C22/$C$8</f>
        <v>0.04</v>
      </c>
      <c r="H22" s="21" t="s">
        <v>148</v>
      </c>
      <c r="I22" s="22" t="n">
        <v>18.4</v>
      </c>
      <c r="J22" s="35" t="n">
        <v>2000</v>
      </c>
      <c r="K22" s="35" t="n">
        <v>1500</v>
      </c>
      <c r="L22" s="24" t="n">
        <v>10</v>
      </c>
      <c r="M22" s="9" t="n">
        <v>49.9</v>
      </c>
    </row>
    <row r="23" customFormat="false" ht="15" hidden="false" customHeight="false" outlineLevel="0" collapsed="false">
      <c r="B23" s="14" t="s">
        <v>149</v>
      </c>
      <c r="C23" s="15" t="n">
        <v>40000</v>
      </c>
      <c r="D23" s="16" t="n">
        <f aca="false">C23/$C$8</f>
        <v>0.16</v>
      </c>
      <c r="H23" s="21" t="s">
        <v>150</v>
      </c>
      <c r="I23" s="22" t="n">
        <v>9.1</v>
      </c>
      <c r="J23" s="35" t="n">
        <v>4000</v>
      </c>
      <c r="K23" s="35" t="n">
        <v>3500</v>
      </c>
      <c r="L23" s="24" t="n">
        <v>10</v>
      </c>
      <c r="M23" s="9" t="n">
        <v>24.9</v>
      </c>
    </row>
    <row r="24" customFormat="false" ht="15" hidden="false" customHeight="false" outlineLevel="0" collapsed="false">
      <c r="H24" s="8" t="s">
        <v>94</v>
      </c>
      <c r="I24" s="23"/>
      <c r="J24" s="36" t="n">
        <f aca="false">SUM(J21:J23)</f>
        <v>12500</v>
      </c>
      <c r="K24" s="36" t="n">
        <f aca="false">SUM(K21:K23)</f>
        <v>10000</v>
      </c>
      <c r="L24" s="23"/>
      <c r="M24" s="23"/>
    </row>
    <row r="25" customFormat="false" ht="15" hidden="false" customHeight="false" outlineLevel="0" collapsed="false">
      <c r="B25" s="28" t="s">
        <v>59</v>
      </c>
      <c r="C25" s="11" t="n">
        <f aca="false">C19-C21</f>
        <v>37500</v>
      </c>
      <c r="D25" s="12" t="n">
        <f aca="false">C25/$C$8</f>
        <v>0.15</v>
      </c>
    </row>
    <row r="26" customFormat="false" ht="16.15" hidden="false" customHeight="false" outlineLevel="0" collapsed="false">
      <c r="H26" s="5" t="s">
        <v>123</v>
      </c>
      <c r="I26" s="5"/>
      <c r="J26" s="5"/>
    </row>
    <row r="27" customFormat="false" ht="15" hidden="false" customHeight="false" outlineLevel="0" collapsed="false">
      <c r="H27" s="32" t="s">
        <v>97</v>
      </c>
      <c r="I27" s="32"/>
      <c r="J27" s="26" t="n">
        <f aca="false">ROUND(C21/J24,2)</f>
        <v>4</v>
      </c>
    </row>
    <row r="28" customFormat="false" ht="15" hidden="false" customHeight="false" outlineLevel="0" collapsed="false">
      <c r="B28" s="29" t="s">
        <v>60</v>
      </c>
      <c r="C28" s="29"/>
      <c r="H28" s="32" t="s">
        <v>99</v>
      </c>
      <c r="I28" s="32"/>
      <c r="J28" s="26" t="n">
        <f aca="false">ROUND(C21/K24,2)</f>
        <v>5</v>
      </c>
    </row>
    <row r="29" customFormat="false" ht="15" hidden="false" customHeight="false" outlineLevel="0" collapsed="false">
      <c r="B29" s="14" t="s">
        <v>61</v>
      </c>
      <c r="C29" s="22" t="n">
        <f aca="false">(D13-D14)*100</f>
        <v>10</v>
      </c>
    </row>
    <row r="30" customFormat="false" ht="16.15" hidden="false" customHeight="false" outlineLevel="0" collapsed="false">
      <c r="B30" s="14" t="s">
        <v>41</v>
      </c>
      <c r="C30" s="22" t="n">
        <f aca="false">D10*100</f>
        <v>15</v>
      </c>
      <c r="H30" s="25" t="s">
        <v>39</v>
      </c>
      <c r="I30" s="25"/>
      <c r="J30" s="25"/>
      <c r="K30" s="25"/>
      <c r="L30" s="25"/>
      <c r="M30" s="25"/>
      <c r="N30" s="25"/>
      <c r="O30" s="25"/>
    </row>
    <row r="31" customFormat="false" ht="30" hidden="false" customHeight="true" outlineLevel="0" collapsed="false">
      <c r="B31" s="14" t="s">
        <v>62</v>
      </c>
      <c r="C31" s="22" t="n">
        <f aca="false">D21*100</f>
        <v>20</v>
      </c>
      <c r="H31" s="20" t="s">
        <v>34</v>
      </c>
      <c r="I31" s="20" t="s">
        <v>35</v>
      </c>
      <c r="J31" s="20" t="s">
        <v>41</v>
      </c>
      <c r="K31" s="20" t="s">
        <v>42</v>
      </c>
      <c r="L31" s="20" t="s">
        <v>43</v>
      </c>
      <c r="M31" s="20" t="s">
        <v>44</v>
      </c>
      <c r="N31" s="20" t="s">
        <v>45</v>
      </c>
      <c r="O31" s="20" t="s">
        <v>46</v>
      </c>
    </row>
    <row r="32" customFormat="false" ht="15" hidden="false" customHeight="false" outlineLevel="0" collapsed="false">
      <c r="B32" s="14" t="s">
        <v>63</v>
      </c>
      <c r="C32" s="22" t="n">
        <f aca="false">D19*100</f>
        <v>35</v>
      </c>
      <c r="H32" s="21" t="str">
        <f aca="false">$H$21</f>
        <v>Balde 20 L</v>
      </c>
      <c r="I32" s="22" t="n">
        <f aca="false">$I$21</f>
        <v>6.3</v>
      </c>
      <c r="J32" s="22" t="n">
        <f aca="false">$C$30</f>
        <v>15</v>
      </c>
      <c r="K32" s="22" t="n">
        <f aca="false">$C$29</f>
        <v>10</v>
      </c>
      <c r="L32" s="22" t="n">
        <f aca="false">$C$31</f>
        <v>20</v>
      </c>
      <c r="M32" s="9" t="n">
        <f aca="false">I32/((100-(J32+K32+L32))/100)</f>
        <v>11.4545454545455</v>
      </c>
      <c r="N32" s="24" t="n">
        <f aca="false">$L$21</f>
        <v>10</v>
      </c>
      <c r="O32" s="26" t="n">
        <f aca="false">I32/((100-(J32+K32+L32+N32))/100)</f>
        <v>14</v>
      </c>
    </row>
    <row r="33" customFormat="false" ht="15" hidden="false" customHeight="false" outlineLevel="0" collapsed="false">
      <c r="H33" s="21" t="str">
        <f aca="false">$H$22</f>
        <v>Bombona 50 L</v>
      </c>
      <c r="I33" s="22" t="n">
        <f aca="false">$I$22</f>
        <v>18.4</v>
      </c>
      <c r="J33" s="22" t="n">
        <f aca="false">$C$30</f>
        <v>15</v>
      </c>
      <c r="K33" s="22" t="n">
        <f aca="false">$C$29</f>
        <v>10</v>
      </c>
      <c r="L33" s="22" t="n">
        <f aca="false">$C$31</f>
        <v>20</v>
      </c>
      <c r="M33" s="9" t="n">
        <f aca="false">I33/((100-(J33+K33+L33))/100)</f>
        <v>33.4545454545454</v>
      </c>
      <c r="N33" s="24" t="n">
        <f aca="false">$L$22</f>
        <v>10</v>
      </c>
      <c r="O33" s="26" t="n">
        <f aca="false">I33/((100-(J33+K33+L33+N33))/100)</f>
        <v>40.8888888888889</v>
      </c>
    </row>
    <row r="34" customFormat="false" ht="15" hidden="false" customHeight="false" outlineLevel="0" collapsed="false">
      <c r="H34" s="21" t="str">
        <f aca="false">$H$23</f>
        <v>Caixa organizadora 30 L</v>
      </c>
      <c r="I34" s="22" t="n">
        <f aca="false">$I$23</f>
        <v>9.1</v>
      </c>
      <c r="J34" s="22" t="n">
        <f aca="false">$C$30</f>
        <v>15</v>
      </c>
      <c r="K34" s="22" t="n">
        <f aca="false">$C$29</f>
        <v>10</v>
      </c>
      <c r="L34" s="22" t="n">
        <f aca="false">$C$31</f>
        <v>20</v>
      </c>
      <c r="M34" s="9" t="n">
        <f aca="false">I34/((100-(J34+K34+L34))/100)</f>
        <v>16.5454545454545</v>
      </c>
      <c r="N34" s="24" t="n">
        <f aca="false">$L$23</f>
        <v>10</v>
      </c>
      <c r="O34" s="26" t="n">
        <f aca="false">I34/((100-(J34+K34+L34+N34))/100)</f>
        <v>20.2222222222222</v>
      </c>
    </row>
    <row r="35" customFormat="false" ht="15" hidden="false" customHeight="false" outlineLevel="0" collapsed="false">
      <c r="H35" s="27" t="s">
        <v>49</v>
      </c>
    </row>
    <row r="37" customFormat="false" ht="16.15" hidden="false" customHeight="false" outlineLevel="0" collapsed="false">
      <c r="H37" s="25" t="s">
        <v>101</v>
      </c>
      <c r="I37" s="25"/>
      <c r="J37" s="25"/>
      <c r="K37" s="25"/>
      <c r="L37" s="25"/>
      <c r="M37" s="25"/>
      <c r="N37" s="25"/>
      <c r="O37" s="25"/>
    </row>
    <row r="38" customFormat="false" ht="30" hidden="false" customHeight="true" outlineLevel="0" collapsed="false">
      <c r="H38" s="20" t="s">
        <v>34</v>
      </c>
      <c r="I38" s="20" t="s">
        <v>35</v>
      </c>
      <c r="J38" s="20" t="s">
        <v>41</v>
      </c>
      <c r="K38" s="20" t="s">
        <v>42</v>
      </c>
      <c r="L38" s="20" t="s">
        <v>102</v>
      </c>
      <c r="M38" s="20" t="s">
        <v>44</v>
      </c>
      <c r="N38" s="20" t="s">
        <v>45</v>
      </c>
      <c r="O38" s="20" t="s">
        <v>46</v>
      </c>
    </row>
    <row r="39" customFormat="false" ht="15" hidden="false" customHeight="false" outlineLevel="0" collapsed="false">
      <c r="H39" s="21" t="str">
        <f aca="false">$H$21</f>
        <v>Balde 20 L</v>
      </c>
      <c r="I39" s="22" t="n">
        <f aca="false">$I$21</f>
        <v>6.3</v>
      </c>
      <c r="J39" s="22" t="n">
        <f aca="false">$C$30</f>
        <v>15</v>
      </c>
      <c r="K39" s="22" t="n">
        <f aca="false">$C$29</f>
        <v>10</v>
      </c>
      <c r="L39" s="9" t="n">
        <f aca="false">$J$27</f>
        <v>4</v>
      </c>
      <c r="M39" s="9" t="n">
        <f aca="false">(I39+L39)/((100-(J39+K39))/100)</f>
        <v>13.7333333333333</v>
      </c>
      <c r="N39" s="24" t="n">
        <f aca="false">$L$21</f>
        <v>10</v>
      </c>
      <c r="O39" s="26" t="n">
        <f aca="false">(I39+L39)/((100-(J39+K39+N39))/100)</f>
        <v>15.8461538461538</v>
      </c>
    </row>
    <row r="40" customFormat="false" ht="15" hidden="false" customHeight="false" outlineLevel="0" collapsed="false">
      <c r="H40" s="21" t="str">
        <f aca="false">$H$22</f>
        <v>Bombona 50 L</v>
      </c>
      <c r="I40" s="22" t="n">
        <f aca="false">$I$22</f>
        <v>18.4</v>
      </c>
      <c r="J40" s="22" t="n">
        <f aca="false">$C$30</f>
        <v>15</v>
      </c>
      <c r="K40" s="22" t="n">
        <f aca="false">$C$29</f>
        <v>10</v>
      </c>
      <c r="L40" s="9" t="n">
        <f aca="false">$J$27</f>
        <v>4</v>
      </c>
      <c r="M40" s="9" t="n">
        <f aca="false">(I40+L40)/((100-(J40+K40))/100)</f>
        <v>29.8666666666667</v>
      </c>
      <c r="N40" s="24" t="n">
        <f aca="false">$L$22</f>
        <v>10</v>
      </c>
      <c r="O40" s="26" t="n">
        <f aca="false">(I40+L40)/((100-(J40+K40+N40))/100)</f>
        <v>34.4615384615385</v>
      </c>
    </row>
    <row r="41" customFormat="false" ht="15" hidden="false" customHeight="false" outlineLevel="0" collapsed="false">
      <c r="H41" s="21" t="str">
        <f aca="false">$H$23</f>
        <v>Caixa organizadora 30 L</v>
      </c>
      <c r="I41" s="22" t="n">
        <f aca="false">$I$23</f>
        <v>9.1</v>
      </c>
      <c r="J41" s="22" t="n">
        <f aca="false">$C$30</f>
        <v>15</v>
      </c>
      <c r="K41" s="22" t="n">
        <f aca="false">$C$29</f>
        <v>10</v>
      </c>
      <c r="L41" s="9" t="n">
        <f aca="false">$J$27</f>
        <v>4</v>
      </c>
      <c r="M41" s="9" t="n">
        <f aca="false">(I41+L41)/((100-(J41+K41))/100)</f>
        <v>17.4666666666667</v>
      </c>
      <c r="N41" s="24" t="n">
        <f aca="false">$L$23</f>
        <v>10</v>
      </c>
      <c r="O41" s="26" t="n">
        <f aca="false">(I41+L41)/((100-(J41+K41+N41))/100)</f>
        <v>20.1538461538462</v>
      </c>
    </row>
    <row r="42" customFormat="false" ht="15" hidden="false" customHeight="false" outlineLevel="0" collapsed="false">
      <c r="H42" s="27" t="s">
        <v>103</v>
      </c>
    </row>
    <row r="44" customFormat="false" ht="16.15" hidden="false" customHeight="false" outlineLevel="0" collapsed="false">
      <c r="H44" s="25" t="s">
        <v>104</v>
      </c>
      <c r="I44" s="25"/>
      <c r="J44" s="25"/>
      <c r="K44" s="25"/>
      <c r="L44" s="25"/>
      <c r="M44" s="25"/>
      <c r="N44" s="25"/>
      <c r="O44" s="25"/>
    </row>
    <row r="45" customFormat="false" ht="30" hidden="false" customHeight="true" outlineLevel="0" collapsed="false">
      <c r="H45" s="20" t="s">
        <v>34</v>
      </c>
      <c r="I45" s="20" t="s">
        <v>35</v>
      </c>
      <c r="J45" s="20" t="s">
        <v>41</v>
      </c>
      <c r="K45" s="20" t="s">
        <v>42</v>
      </c>
      <c r="L45" s="20" t="s">
        <v>102</v>
      </c>
      <c r="M45" s="20" t="s">
        <v>44</v>
      </c>
      <c r="N45" s="20" t="s">
        <v>45</v>
      </c>
      <c r="O45" s="20" t="s">
        <v>46</v>
      </c>
    </row>
    <row r="46" customFormat="false" ht="15" hidden="false" customHeight="false" outlineLevel="0" collapsed="false">
      <c r="H46" s="21" t="str">
        <f aca="false">$H$21</f>
        <v>Balde 20 L</v>
      </c>
      <c r="I46" s="22" t="n">
        <f aca="false">$I$21</f>
        <v>6.3</v>
      </c>
      <c r="J46" s="22" t="n">
        <f aca="false">$C$30</f>
        <v>15</v>
      </c>
      <c r="K46" s="22" t="n">
        <f aca="false">$C$29</f>
        <v>10</v>
      </c>
      <c r="L46" s="9" t="n">
        <f aca="false">$J$28</f>
        <v>5</v>
      </c>
      <c r="M46" s="9" t="n">
        <f aca="false">(I46+L46)/((100-(J46+K46))/100)</f>
        <v>15.0666666666667</v>
      </c>
      <c r="N46" s="24" t="n">
        <f aca="false">$L$21</f>
        <v>10</v>
      </c>
      <c r="O46" s="26" t="n">
        <f aca="false">(I46+L46)/((100-(J46+K46+N46))/100)</f>
        <v>17.3846153846154</v>
      </c>
    </row>
    <row r="47" customFormat="false" ht="15" hidden="false" customHeight="false" outlineLevel="0" collapsed="false">
      <c r="H47" s="21" t="str">
        <f aca="false">$H$22</f>
        <v>Bombona 50 L</v>
      </c>
      <c r="I47" s="22" t="n">
        <f aca="false">$I$22</f>
        <v>18.4</v>
      </c>
      <c r="J47" s="22" t="n">
        <f aca="false">$C$30</f>
        <v>15</v>
      </c>
      <c r="K47" s="22" t="n">
        <f aca="false">$C$29</f>
        <v>10</v>
      </c>
      <c r="L47" s="9" t="n">
        <f aca="false">$J$28</f>
        <v>5</v>
      </c>
      <c r="M47" s="9" t="n">
        <f aca="false">(I47+L47)/((100-(J47+K47))/100)</f>
        <v>31.2</v>
      </c>
      <c r="N47" s="24" t="n">
        <f aca="false">$L$22</f>
        <v>10</v>
      </c>
      <c r="O47" s="26" t="n">
        <f aca="false">(I47+L47)/((100-(J47+K47+N47))/100)</f>
        <v>36</v>
      </c>
    </row>
    <row r="48" customFormat="false" ht="15" hidden="false" customHeight="false" outlineLevel="0" collapsed="false">
      <c r="H48" s="21" t="str">
        <f aca="false">$H$23</f>
        <v>Caixa organizadora 30 L</v>
      </c>
      <c r="I48" s="22" t="n">
        <f aca="false">$I$23</f>
        <v>9.1</v>
      </c>
      <c r="J48" s="22" t="n">
        <f aca="false">$C$30</f>
        <v>15</v>
      </c>
      <c r="K48" s="22" t="n">
        <f aca="false">$C$29</f>
        <v>10</v>
      </c>
      <c r="L48" s="9" t="n">
        <f aca="false">$J$28</f>
        <v>5</v>
      </c>
      <c r="M48" s="9" t="n">
        <f aca="false">(I48+L48)/((100-(J48+K48))/100)</f>
        <v>18.8</v>
      </c>
      <c r="N48" s="24" t="n">
        <f aca="false">$L$23</f>
        <v>10</v>
      </c>
      <c r="O48" s="26" t="n">
        <f aca="false">(I48+L48)/((100-(J48+K48+N48))/100)</f>
        <v>21.6923076923077</v>
      </c>
    </row>
    <row r="49" customFormat="false" ht="15" hidden="false" customHeight="false" outlineLevel="0" collapsed="false">
      <c r="H49" s="27" t="s">
        <v>103</v>
      </c>
    </row>
    <row r="51" customFormat="false" ht="16.15" hidden="false" customHeight="false" outlineLevel="0" collapsed="false">
      <c r="H51" s="5" t="s">
        <v>151</v>
      </c>
      <c r="I51" s="5"/>
      <c r="J51" s="5"/>
      <c r="K51" s="5"/>
      <c r="L51" s="5"/>
      <c r="M51" s="5"/>
    </row>
    <row r="52" customFormat="false" ht="30" hidden="false" customHeight="true" outlineLevel="0" collapsed="false">
      <c r="H52" s="20" t="s">
        <v>34</v>
      </c>
      <c r="I52" s="20" t="s">
        <v>132</v>
      </c>
      <c r="J52" s="20" t="s">
        <v>133</v>
      </c>
      <c r="K52" s="20" t="s">
        <v>134</v>
      </c>
      <c r="L52" s="20" t="s">
        <v>152</v>
      </c>
      <c r="M52" s="20" t="s">
        <v>153</v>
      </c>
    </row>
    <row r="53" customFormat="false" ht="15" hidden="false" customHeight="false" outlineLevel="0" collapsed="false">
      <c r="H53" s="21" t="str">
        <f aca="false">H32</f>
        <v>Balde 20 L</v>
      </c>
      <c r="I53" s="9" t="n">
        <f aca="false">O32</f>
        <v>14</v>
      </c>
      <c r="J53" s="9" t="n">
        <f aca="false">O39</f>
        <v>15.8461538461538</v>
      </c>
      <c r="K53" s="9" t="n">
        <f aca="false">O46</f>
        <v>17.3846153846154</v>
      </c>
      <c r="L53" s="9" t="n">
        <f aca="false">M21</f>
        <v>19.9</v>
      </c>
      <c r="M53" s="37" t="n">
        <f aca="false">L53/K53-1</f>
        <v>0.144690265486725</v>
      </c>
    </row>
    <row r="54" customFormat="false" ht="15" hidden="false" customHeight="false" outlineLevel="0" collapsed="false">
      <c r="H54" s="21" t="str">
        <f aca="false">H33</f>
        <v>Bombona 50 L</v>
      </c>
      <c r="I54" s="9" t="n">
        <f aca="false">O33</f>
        <v>40.8888888888889</v>
      </c>
      <c r="J54" s="9" t="n">
        <f aca="false">O40</f>
        <v>34.4615384615385</v>
      </c>
      <c r="K54" s="9" t="n">
        <f aca="false">O47</f>
        <v>36</v>
      </c>
      <c r="L54" s="9" t="n">
        <f aca="false">M22</f>
        <v>49.9</v>
      </c>
      <c r="M54" s="37" t="n">
        <f aca="false">L54/K54-1</f>
        <v>0.386111111111111</v>
      </c>
    </row>
    <row r="55" customFormat="false" ht="15" hidden="false" customHeight="false" outlineLevel="0" collapsed="false">
      <c r="H55" s="21" t="str">
        <f aca="false">H34</f>
        <v>Caixa organizadora 30 L</v>
      </c>
      <c r="I55" s="9" t="n">
        <f aca="false">O34</f>
        <v>20.2222222222222</v>
      </c>
      <c r="J55" s="9" t="n">
        <f aca="false">O41</f>
        <v>20.1538461538462</v>
      </c>
      <c r="K55" s="9" t="n">
        <f aca="false">O48</f>
        <v>21.6923076923077</v>
      </c>
      <c r="L55" s="9" t="n">
        <f aca="false">M23</f>
        <v>24.9</v>
      </c>
      <c r="M55" s="37" t="n">
        <f aca="false">L55/K55-1</f>
        <v>0.147872340425532</v>
      </c>
    </row>
    <row r="58" customFormat="false" ht="16.15" hidden="false" customHeight="false" outlineLevel="0" collapsed="false">
      <c r="H58" s="5" t="s">
        <v>154</v>
      </c>
      <c r="I58" s="5"/>
      <c r="J58" s="5"/>
      <c r="K58" s="5"/>
      <c r="L58" s="5"/>
      <c r="M58" s="5"/>
    </row>
    <row r="59" customFormat="false" ht="30" hidden="false" customHeight="true" outlineLevel="0" collapsed="false">
      <c r="H59" s="20" t="s">
        <v>34</v>
      </c>
      <c r="I59" s="20" t="s">
        <v>155</v>
      </c>
      <c r="J59" s="20" t="s">
        <v>107</v>
      </c>
      <c r="K59" s="20" t="s">
        <v>152</v>
      </c>
      <c r="L59" s="20" t="s">
        <v>156</v>
      </c>
    </row>
    <row r="60" customFormat="false" ht="15" hidden="false" customHeight="false" outlineLevel="0" collapsed="false">
      <c r="H60" s="21" t="str">
        <f aca="false">H21</f>
        <v>Balde 20 L</v>
      </c>
      <c r="I60" s="35" t="n">
        <v>3000</v>
      </c>
      <c r="J60" s="26" t="n">
        <f aca="false">(I21+$J$64)/((100-($C$30+$C$29+L21))/100)</f>
        <v>22.5076923076923</v>
      </c>
      <c r="K60" s="9" t="n">
        <f aca="false">M21</f>
        <v>19.9</v>
      </c>
      <c r="L60" s="21" t="str">
        <f aca="false">IF(J60&lt;=K60,"abaixo do mercado","acima do mercado")</f>
        <v>acima do mercado</v>
      </c>
    </row>
    <row r="61" customFormat="false" ht="15" hidden="false" customHeight="false" outlineLevel="0" collapsed="false">
      <c r="H61" s="21" t="str">
        <f aca="false">H22</f>
        <v>Bombona 50 L</v>
      </c>
      <c r="I61" s="35" t="n">
        <v>1000</v>
      </c>
      <c r="J61" s="26" t="n">
        <f aca="false">(I22+$J$64)/((100-($C$30+$C$29+L22))/100)</f>
        <v>41.1230769230769</v>
      </c>
      <c r="K61" s="9" t="n">
        <f aca="false">M22</f>
        <v>49.9</v>
      </c>
      <c r="L61" s="21" t="str">
        <f aca="false">IF(J61&lt;=K61,"abaixo do mercado","acima do mercado")</f>
        <v>abaixo do mercado</v>
      </c>
    </row>
    <row r="62" customFormat="false" ht="15" hidden="false" customHeight="false" outlineLevel="0" collapsed="false">
      <c r="H62" s="21" t="str">
        <f aca="false">H23</f>
        <v>Caixa organizadora 30 L</v>
      </c>
      <c r="I62" s="35" t="n">
        <v>2000</v>
      </c>
      <c r="J62" s="26" t="n">
        <f aca="false">(I23+$J$64)/((100-($C$30+$C$29+L23))/100)</f>
        <v>26.8153846153846</v>
      </c>
      <c r="K62" s="9" t="n">
        <f aca="false">M23</f>
        <v>24.9</v>
      </c>
      <c r="L62" s="21" t="str">
        <f aca="false">IF(J62&lt;=K62,"abaixo do mercado","acima do mercado")</f>
        <v>acima do mercado</v>
      </c>
    </row>
    <row r="63" customFormat="false" ht="15" hidden="false" customHeight="false" outlineLevel="0" collapsed="false">
      <c r="H63" s="8" t="s">
        <v>94</v>
      </c>
      <c r="I63" s="36" t="n">
        <f aca="false">SUM(I60:I62)</f>
        <v>6000</v>
      </c>
      <c r="J63" s="23"/>
      <c r="K63" s="23"/>
      <c r="L63" s="23"/>
    </row>
    <row r="64" customFormat="false" ht="15" hidden="false" customHeight="false" outlineLevel="0" collapsed="false">
      <c r="H64" s="32" t="s">
        <v>157</v>
      </c>
      <c r="I64" s="32"/>
      <c r="J64" s="26" t="n">
        <f aca="false">ROUND(C21/I63,2)</f>
        <v>8.33</v>
      </c>
    </row>
    <row r="66" customFormat="false" ht="15" hidden="false" customHeight="false" outlineLevel="0" collapsed="false">
      <c r="H66" s="33" t="s">
        <v>111</v>
      </c>
      <c r="I66" s="33"/>
      <c r="J66" s="33"/>
      <c r="K66" s="33"/>
      <c r="L66" s="33"/>
      <c r="M66" s="33"/>
      <c r="N66" s="33"/>
      <c r="O66" s="33"/>
    </row>
    <row r="67" customFormat="false" ht="49.5" hidden="false" customHeight="true" outlineLevel="0" collapsed="false">
      <c r="H67" s="34" t="s">
        <v>158</v>
      </c>
      <c r="I67" s="34"/>
      <c r="J67" s="34"/>
      <c r="K67" s="34"/>
      <c r="L67" s="34"/>
      <c r="M67" s="34"/>
      <c r="N67" s="34"/>
      <c r="O67" s="34"/>
    </row>
  </sheetData>
  <mergeCells count="28">
    <mergeCell ref="B2:O2"/>
    <mergeCell ref="B4:D4"/>
    <mergeCell ref="B5:D5"/>
    <mergeCell ref="H5:J5"/>
    <mergeCell ref="H6:I6"/>
    <mergeCell ref="H7:I7"/>
    <mergeCell ref="H8:I8"/>
    <mergeCell ref="H9:I9"/>
    <mergeCell ref="H10:I10"/>
    <mergeCell ref="H11:I11"/>
    <mergeCell ref="H12:I12"/>
    <mergeCell ref="H13:I13"/>
    <mergeCell ref="H15:I15"/>
    <mergeCell ref="H16:I16"/>
    <mergeCell ref="H17:I17"/>
    <mergeCell ref="H19:M19"/>
    <mergeCell ref="H26:J26"/>
    <mergeCell ref="H27:I27"/>
    <mergeCell ref="B28:C28"/>
    <mergeCell ref="H28:I28"/>
    <mergeCell ref="H30:O30"/>
    <mergeCell ref="H37:O37"/>
    <mergeCell ref="H44:O44"/>
    <mergeCell ref="H51:M51"/>
    <mergeCell ref="H58:M58"/>
    <mergeCell ref="H64:I64"/>
    <mergeCell ref="H66:O66"/>
    <mergeCell ref="H67:O6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2026-10-28T21:37:13Z</dcterms:created>
  <dc:creator>openpyxl</dc:creator>
  <dc:description/>
  <dc:language>en-US</dc:language>
  <cp:lastModifiedBy/>
  <dcterms:modified xsi:type="dcterms:W3CDTF">2026-10-28T21:37:13Z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