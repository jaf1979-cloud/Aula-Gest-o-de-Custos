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eangeloferreira/Library/CloudStorage/GoogleDrive-jaf1979@gmail.com/Meu Drive/  Aulas/  Aula UTFPR/ Gestão de Custos/Provas/Planilhas Suporte/"/>
    </mc:Choice>
  </mc:AlternateContent>
  <xr:revisionPtr revIDLastSave="0" documentId="13_ncr:1_{D0329EFB-0BCA-CD4F-AFEA-BFAA458A7735}" xr6:coauthVersionLast="47" xr6:coauthVersionMax="47" xr10:uidLastSave="{00000000-0000-0000-0000-000000000000}"/>
  <bookViews>
    <workbookView xWindow="1160" yWindow="500" windowWidth="25040" windowHeight="14020" xr2:uid="{2AD566C2-3715-0947-AD46-2DA8633EAC84}" activeTab="0"/>
  </bookViews>
  <sheets>
    <sheet name="Exercício 1 MC" sheetId="10" r:id="rId100"/>
    <sheet name="Exercício 1 Absorção" sheetId="11" r:id="rId101"/>
    <sheet name="Exercício 2 MC" sheetId="12" r:id="rId102"/>
    <sheet name="Exercício 2 Absorção" sheetId="13" r:id="rId103"/>
    <sheet name="Exercício 3 MC" sheetId="14" r:id="rId104"/>
    <sheet name="Exercício 3 Absorção" sheetId="15" r:id="rId105"/>
    <sheet name="FORMULAS" sheetId="3" r:id="rId1"/>
  </sheets>
  <calcPr calcId="18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<sst xmlns="http://schemas.openxmlformats.org/spreadsheetml/2006/main" count="52" uniqueCount="27">
  <si>
    <t>PROD.</t>
  </si>
  <si>
    <t>PREÇO</t>
  </si>
  <si>
    <t>CVP</t>
  </si>
  <si>
    <t>CVV</t>
  </si>
  <si>
    <t>CVT</t>
  </si>
  <si>
    <t>MC IND</t>
  </si>
  <si>
    <t>MC TOTAL</t>
  </si>
  <si>
    <t>CF UNIT</t>
  </si>
  <si>
    <t>CUSTO TOTAL</t>
  </si>
  <si>
    <t>LUCRO</t>
  </si>
  <si>
    <t>PV</t>
  </si>
  <si>
    <t>MP</t>
  </si>
  <si>
    <t xml:space="preserve">  %</t>
  </si>
  <si>
    <t xml:space="preserve"> R$</t>
  </si>
  <si>
    <t>%</t>
  </si>
  <si>
    <t>R$</t>
  </si>
  <si>
    <t xml:space="preserve"> </t>
  </si>
  <si>
    <t>TOTAL</t>
  </si>
  <si>
    <t>VENDAS</t>
  </si>
  <si>
    <t>DISCRIMINAÇÃO</t>
  </si>
  <si>
    <t>VALOR R$</t>
  </si>
  <si>
    <t>1. Receita Total</t>
  </si>
  <si>
    <t>2. Custos Variáveis de Vendas</t>
  </si>
  <si>
    <t>PRODUTO</t>
  </si>
  <si>
    <t>CF UNITARIO</t>
  </si>
  <si>
    <t>P. VENDA</t>
  </si>
  <si>
    <t>QUANT.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</si>
</sst>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General_)"/>
    <numFmt numFmtId="165" formatCode="_(&quot;R$&quot;* #,##0.00_);_(&quot;R$&quot;* \(#,##0.00\);_(&quot;R$&quot;* &quot;-&quot;??_);_(@_)"/>
    <numFmt numFmtId="166" formatCode="_(&quot;R$&quot;\ * #,##0.00_);_(&quot;R$&quot;* \(#,##0.00\);_(&quot;R$&quot;\ * &quot;-&quot;_);_(@_)"/>
    <numFmt numFmtId="167" formatCode="_-&quot;R$&quot;* #,##0.00_-;\-&quot;R$&quot;* #,##0.00_-;_-&quot;R$&quot;* &quot;-&quot;??_-;_-@"/>
    <numFmt numFmtId="168" formatCode="0.0%"/>
  </numFmts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Arial"/>
      <family val="2"/>
    </font>
    <font>
      <b/>
      <sz val="12"/>
      <name val="Arial"/>
      <family val="2"/>
    </font>
    <font>
      <b/>
      <sz val="8"/>
      <color indexed="12"/>
      <name val="Arial"/>
      <family val="2"/>
    </font>
    <font>
      <sz val="12"/>
      <name val="Arial"/>
      <family val="2"/>
    </font>
    <font>
      <b/>
      <sz val="12"/>
      <color indexed="17"/>
      <name val="Arial"/>
      <family val="2"/>
    </font>
    <font>
      <b/>
      <sz val="12"/>
      <color indexed="10"/>
      <name val="Arial"/>
      <family val="2"/>
    </font>
    <font>
      <sz val="12"/>
      <color theme="5" tint="-0.249977111117893"/>
      <name val="Arial"/>
      <family val="2"/>
    </font>
    <font>
      <b/>
      <i/>
      <sz val="12"/>
      <name val="Arial"/>
      <family val="2"/>
    </font>
    <font>
      <b/>
      <sz val="14"/>
      <name val="Arial"/>
      <family val="2"/>
    </font>
    <font>
      <b/>
      <sz val="14"/>
      <color rgb="FFF2F2F2"/>
      <name val="Arial"/>
      <family val="2"/>
    </font>
    <font>
      <sz val="11"/>
      <name val="Arial"/>
      <family val="2"/>
    </font>
    <font>
      <b/>
      <sz val="11"/>
      <color rgb="FFF2F2F2"/>
      <name val="Arial"/>
      <family val="2"/>
    </font>
    <font>
      <sz val="11"/>
      <color theme="1"/>
      <name val="Calibri"/>
      <family val="2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b/>
      <sz val="12"/>
      <color theme="0"/>
      <name val="Arial"/>
      <family val="2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C00000"/>
        <bgColor theme="4"/>
      </patternFill>
    </fill>
    <fill>
      <patternFill patternType="solid">
        <fgColor theme="4" tint="0.59999389629810485"/>
        <bgColor indexed="64"/>
      </patternFill>
    </fill>
  </fills>
  <borders count="92">
    <border>
      <left/>
      <right/>
      <top/>
      <bottom/>
      <diagonal/>
    </border>
    <border>
      <left style="double">
        <color indexed="12"/>
      </left>
      <right/>
      <top style="double">
        <color indexed="12"/>
      </top>
      <bottom/>
      <diagonal/>
    </border>
    <border>
      <left/>
      <right/>
      <top style="double">
        <color indexed="12"/>
      </top>
      <bottom/>
      <diagonal/>
    </border>
    <border>
      <left/>
      <right style="double">
        <color indexed="12"/>
      </right>
      <top style="double">
        <color indexed="12"/>
      </top>
      <bottom/>
      <diagonal/>
    </border>
    <border>
      <left style="double">
        <color indexed="12"/>
      </left>
      <right/>
      <top/>
      <bottom/>
      <diagonal/>
    </border>
    <border>
      <left/>
      <right style="double">
        <color indexed="12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double">
        <color theme="1"/>
      </left>
      <right/>
      <top style="double">
        <color theme="1"/>
      </top>
      <bottom/>
      <diagonal/>
    </border>
    <border>
      <left style="medium">
        <color auto="1"/>
      </left>
      <right style="medium">
        <color auto="1"/>
      </right>
      <top style="double">
        <color theme="1"/>
      </top>
      <bottom/>
      <diagonal/>
    </border>
    <border>
      <left/>
      <right/>
      <top style="double">
        <color theme="1"/>
      </top>
      <bottom/>
      <diagonal/>
    </border>
    <border>
      <left style="medium">
        <color auto="1"/>
      </left>
      <right/>
      <top style="double">
        <color theme="1"/>
      </top>
      <bottom style="medium">
        <color auto="1"/>
      </bottom>
      <diagonal/>
    </border>
    <border>
      <left/>
      <right/>
      <top style="double">
        <color theme="1"/>
      </top>
      <bottom style="medium">
        <color auto="1"/>
      </bottom>
      <diagonal/>
    </border>
    <border>
      <left/>
      <right style="medium">
        <color auto="1"/>
      </right>
      <top style="double">
        <color theme="1"/>
      </top>
      <bottom style="medium">
        <color auto="1"/>
      </bottom>
      <diagonal/>
    </border>
    <border>
      <left style="medium">
        <color auto="1"/>
      </left>
      <right style="double">
        <color theme="1"/>
      </right>
      <top style="double">
        <color theme="1"/>
      </top>
      <bottom/>
      <diagonal/>
    </border>
    <border>
      <left style="double">
        <color theme="1"/>
      </left>
      <right/>
      <top/>
      <bottom style="thin">
        <color auto="1"/>
      </bottom>
      <diagonal/>
    </border>
    <border>
      <left/>
      <right style="double">
        <color theme="1"/>
      </right>
      <top/>
      <bottom/>
      <diagonal/>
    </border>
    <border>
      <left style="double">
        <color theme="1"/>
      </left>
      <right/>
      <top style="thin">
        <color auto="1"/>
      </top>
      <bottom style="thin">
        <color auto="1"/>
      </bottom>
      <diagonal/>
    </border>
    <border>
      <left/>
      <right style="double">
        <color theme="1"/>
      </right>
      <top style="thin">
        <color auto="1"/>
      </top>
      <bottom style="thin">
        <color auto="1"/>
      </bottom>
      <diagonal/>
    </border>
    <border>
      <left style="double">
        <color theme="1"/>
      </left>
      <right style="medium">
        <color auto="1"/>
      </right>
      <top style="thin">
        <color auto="1"/>
      </top>
      <bottom style="double">
        <color theme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double">
        <color theme="1"/>
      </bottom>
      <diagonal/>
    </border>
    <border>
      <left style="medium">
        <color auto="1"/>
      </left>
      <right/>
      <top style="thin">
        <color auto="1"/>
      </top>
      <bottom style="double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theme="1"/>
      </bottom>
      <diagonal/>
    </border>
    <border>
      <left/>
      <right style="medium">
        <color auto="1"/>
      </right>
      <top style="thin">
        <color auto="1"/>
      </top>
      <bottom style="double">
        <color theme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theme="1"/>
      </bottom>
      <diagonal/>
    </border>
    <border>
      <left/>
      <right/>
      <top style="thin">
        <color auto="1"/>
      </top>
      <bottom style="double">
        <color theme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theme="1"/>
      </bottom>
      <diagonal/>
    </border>
    <border>
      <left style="medium">
        <color auto="1"/>
      </left>
      <right style="double">
        <color theme="1"/>
      </right>
      <top style="thin">
        <color auto="1"/>
      </top>
      <bottom style="double">
        <color theme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double">
        <color theme="1"/>
      </right>
      <top/>
      <bottom style="thin">
        <color auto="1"/>
      </bottom>
      <diagonal/>
    </border>
    <border>
      <left style="double">
        <color theme="1"/>
      </left>
      <right/>
      <top/>
      <bottom style="double">
        <color theme="1"/>
      </bottom>
      <diagonal/>
    </border>
    <border>
      <left style="medium">
        <color auto="1"/>
      </left>
      <right style="medium">
        <color auto="1"/>
      </right>
      <top/>
      <bottom style="double">
        <color theme="1"/>
      </bottom>
      <diagonal/>
    </border>
    <border>
      <left/>
      <right/>
      <top/>
      <bottom style="double">
        <color theme="1"/>
      </bottom>
      <diagonal/>
    </border>
    <border>
      <left style="medium">
        <color auto="1"/>
      </left>
      <right/>
      <top style="medium">
        <color auto="1"/>
      </top>
      <bottom style="double">
        <color theme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theme="1"/>
      </bottom>
      <diagonal/>
    </border>
    <border>
      <left/>
      <right style="medium">
        <color auto="1"/>
      </right>
      <top style="medium">
        <color auto="1"/>
      </top>
      <bottom style="double">
        <color theme="1"/>
      </bottom>
      <diagonal/>
    </border>
    <border>
      <left style="medium">
        <color auto="1"/>
      </left>
      <right/>
      <top/>
      <bottom style="double">
        <color theme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theme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theme="1"/>
      </bottom>
      <diagonal/>
    </border>
    <border>
      <left/>
      <right style="medium">
        <color auto="1"/>
      </right>
      <top/>
      <bottom style="double">
        <color theme="1"/>
      </bottom>
      <diagonal/>
    </border>
    <border>
      <left style="medium">
        <color auto="1"/>
      </left>
      <right style="double">
        <color theme="1"/>
      </right>
      <top/>
      <bottom style="double">
        <color theme="1"/>
      </bottom>
      <diagonal/>
    </border>
    <border>
      <left style="double">
        <color theme="9" tint="-0.499984740745262"/>
      </left>
      <right style="double">
        <color theme="9" tint="-0.499984740745262"/>
      </right>
      <top style="double">
        <color theme="1"/>
      </top>
      <bottom style="double">
        <color theme="9" tint="-0.499984740745262"/>
      </bottom>
      <diagonal/>
    </border>
    <border>
      <left style="medium">
        <color indexed="64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medium">
        <color indexed="64"/>
      </right>
      <top/>
      <bottom style="double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double">
        <color rgb="FF000000"/>
      </right>
      <top style="medium">
        <color rgb="FF000000"/>
      </top>
      <bottom style="medium">
        <color rgb="FF000000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medium">
        <color rgb="FF000000"/>
      </top>
      <bottom style="medium">
        <color rgb="FF000000"/>
      </bottom>
      <diagonal/>
    </border>
    <border>
      <left/>
      <right style="double">
        <color rgb="FF000000"/>
      </right>
      <top/>
      <bottom/>
      <diagonal/>
    </border>
    <border>
      <left/>
      <right style="thin">
        <color auto="1"/>
      </right>
      <top/>
      <bottom style="double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0">
    <xf numFmtId="0" fontId="0" fillId="0" borderId="0" xfId="0"/>
    <xf numFmtId="0" fontId="2" fillId="0" borderId="0" xfId="0" applyFont="1" applyProtection="1">
      <protection locked="0"/>
    </xf>
    <xf numFmtId="166" fontId="5" fillId="0" borderId="8" xfId="2" applyNumberFormat="1" applyFont="1" applyBorder="1" applyProtection="1">
      <protection locked="0"/>
    </xf>
    <xf numFmtId="10" fontId="5" fillId="0" borderId="9" xfId="3" applyNumberFormat="1" applyFont="1" applyBorder="1" applyAlignment="1" applyProtection="1">
      <alignment horizontal="left"/>
      <protection locked="0"/>
    </xf>
    <xf numFmtId="166" fontId="5" fillId="0" borderId="10" xfId="2" applyNumberFormat="1" applyFont="1" applyBorder="1" applyProtection="1">
      <protection locked="0"/>
    </xf>
    <xf numFmtId="1" fontId="5" fillId="2" borderId="11" xfId="1" applyNumberFormat="1" applyFont="1" applyFill="1" applyBorder="1" applyAlignment="1" applyProtection="1">
      <alignment horizontal="center" vertical="center"/>
      <protection locked="0"/>
    </xf>
    <xf numFmtId="166" fontId="3" fillId="0" borderId="11" xfId="2" applyNumberFormat="1" applyFont="1" applyBorder="1" applyProtection="1">
      <protection locked="0"/>
    </xf>
    <xf numFmtId="166" fontId="5" fillId="0" borderId="12" xfId="2" applyNumberFormat="1" applyFont="1" applyBorder="1" applyProtection="1">
      <protection locked="0"/>
    </xf>
    <xf numFmtId="166" fontId="5" fillId="0" borderId="0" xfId="2" applyNumberFormat="1" applyFont="1" applyBorder="1" applyProtection="1">
      <protection locked="0"/>
    </xf>
    <xf numFmtId="44" fontId="6" fillId="0" borderId="13" xfId="2" applyFont="1" applyBorder="1" applyProtection="1">
      <protection locked="0"/>
    </xf>
    <xf numFmtId="10" fontId="6" fillId="0" borderId="7" xfId="3" applyNumberFormat="1" applyFont="1" applyBorder="1" applyProtection="1">
      <protection locked="0"/>
    </xf>
    <xf numFmtId="10" fontId="6" fillId="0" borderId="10" xfId="3" applyNumberFormat="1" applyFont="1" applyBorder="1" applyProtection="1">
      <protection locked="0"/>
    </xf>
    <xf numFmtId="166" fontId="5" fillId="0" borderId="14" xfId="2" applyNumberFormat="1" applyFont="1" applyBorder="1" applyProtection="1">
      <protection locked="0"/>
    </xf>
    <xf numFmtId="9" fontId="5" fillId="0" borderId="11" xfId="3" applyFont="1" applyBorder="1" applyProtection="1">
      <protection locked="0"/>
    </xf>
    <xf numFmtId="1" fontId="8" fillId="2" borderId="15" xfId="1" applyNumberFormat="1" applyFont="1" applyFill="1" applyBorder="1" applyAlignment="1" applyProtection="1">
      <alignment horizontal="center" vertical="center"/>
      <protection locked="0"/>
    </xf>
    <xf numFmtId="166" fontId="3" fillId="0" borderId="15" xfId="2" applyNumberFormat="1" applyFont="1" applyBorder="1" applyProtection="1">
      <protection locked="0"/>
    </xf>
    <xf numFmtId="166" fontId="5" fillId="0" borderId="16" xfId="2" applyNumberFormat="1" applyFont="1" applyBorder="1" applyProtection="1">
      <protection locked="0"/>
    </xf>
    <xf numFmtId="166" fontId="5" fillId="0" borderId="17" xfId="2" applyNumberFormat="1" applyFont="1" applyBorder="1" applyProtection="1">
      <protection locked="0"/>
    </xf>
    <xf numFmtId="166" fontId="5" fillId="0" borderId="18" xfId="2" applyNumberFormat="1" applyFont="1" applyBorder="1" applyProtection="1">
      <protection locked="0"/>
    </xf>
    <xf numFmtId="9" fontId="5" fillId="0" borderId="16" xfId="3" applyFont="1" applyBorder="1" applyProtection="1">
      <protection locked="0"/>
    </xf>
    <xf numFmtId="166" fontId="5" fillId="0" borderId="19" xfId="2" applyNumberFormat="1" applyFont="1" applyBorder="1" applyProtection="1">
      <protection locked="0"/>
    </xf>
    <xf numFmtId="166" fontId="5" fillId="0" borderId="20" xfId="2" applyNumberFormat="1" applyFont="1" applyBorder="1" applyProtection="1">
      <protection locked="0"/>
    </xf>
    <xf numFmtId="10" fontId="6" fillId="0" borderId="21" xfId="3" applyNumberFormat="1" applyFont="1" applyBorder="1" applyProtection="1">
      <protection locked="0"/>
    </xf>
    <xf numFmtId="10" fontId="6" fillId="0" borderId="18" xfId="3" applyNumberFormat="1" applyFont="1" applyBorder="1" applyProtection="1">
      <protection locked="0"/>
    </xf>
    <xf numFmtId="166" fontId="5" fillId="0" borderId="15" xfId="2" applyNumberFormat="1" applyFont="1" applyBorder="1" applyProtection="1">
      <protection locked="0"/>
    </xf>
    <xf numFmtId="37" fontId="3" fillId="0" borderId="15" xfId="0" applyNumberFormat="1" applyFont="1" applyBorder="1" applyProtection="1">
      <protection locked="0"/>
    </xf>
    <xf numFmtId="0" fontId="5" fillId="0" borderId="15" xfId="0" applyFont="1" applyBorder="1" applyProtection="1">
      <protection locked="0"/>
    </xf>
    <xf numFmtId="0" fontId="5" fillId="0" borderId="16" xfId="0" applyFont="1" applyBorder="1" applyProtection="1">
      <protection locked="0"/>
    </xf>
    <xf numFmtId="166" fontId="3" fillId="0" borderId="17" xfId="2" applyNumberFormat="1" applyFont="1" applyFill="1" applyBorder="1" applyProtection="1">
      <protection locked="0"/>
    </xf>
    <xf numFmtId="0" fontId="5" fillId="0" borderId="18" xfId="0" applyFont="1" applyBorder="1" applyProtection="1">
      <protection locked="0"/>
    </xf>
    <xf numFmtId="9" fontId="5" fillId="0" borderId="16" xfId="3" applyFont="1" applyFill="1" applyBorder="1" applyProtection="1">
      <protection locked="0"/>
    </xf>
    <xf numFmtId="0" fontId="5" fillId="0" borderId="19" xfId="0" applyFont="1" applyBorder="1" applyProtection="1">
      <protection locked="0"/>
    </xf>
    <xf numFmtId="0" fontId="5" fillId="0" borderId="20" xfId="0" applyFont="1" applyBorder="1" applyProtection="1">
      <protection locked="0"/>
    </xf>
    <xf numFmtId="0" fontId="5" fillId="0" borderId="21" xfId="0" applyFont="1" applyBorder="1" applyProtection="1">
      <protection locked="0"/>
    </xf>
    <xf numFmtId="166" fontId="3" fillId="0" borderId="15" xfId="2" applyNumberFormat="1" applyFont="1" applyFill="1" applyBorder="1" applyProtection="1">
      <protection locked="0"/>
    </xf>
    <xf numFmtId="0" fontId="3" fillId="0" borderId="0" xfId="0" applyFont="1" applyProtection="1">
      <protection locked="0"/>
    </xf>
    <xf numFmtId="10" fontId="5" fillId="0" borderId="21" xfId="3" applyNumberFormat="1" applyFont="1" applyBorder="1" applyProtection="1">
      <protection locked="0"/>
    </xf>
    <xf numFmtId="0" fontId="13" fillId="7" borderId="24" xfId="0" applyFont="1" applyFill="1" applyBorder="1" applyAlignment="1">
      <alignment horizontal="center"/>
    </xf>
    <xf numFmtId="164" fontId="5" fillId="0" borderId="39" xfId="0" applyNumberFormat="1" applyFont="1" applyBorder="1" applyAlignment="1" applyProtection="1">
      <alignment horizontal="center"/>
      <protection locked="0"/>
    </xf>
    <xf numFmtId="44" fontId="7" fillId="0" borderId="40" xfId="2" applyFont="1" applyBorder="1" applyAlignment="1" applyProtection="1">
      <alignment horizontal="center"/>
      <protection locked="0"/>
    </xf>
    <xf numFmtId="164" fontId="5" fillId="0" borderId="41" xfId="0" applyNumberFormat="1" applyFont="1" applyBorder="1" applyAlignment="1" applyProtection="1">
      <alignment horizontal="center"/>
      <protection locked="0"/>
    </xf>
    <xf numFmtId="10" fontId="7" fillId="0" borderId="42" xfId="3" applyNumberFormat="1" applyFont="1" applyBorder="1" applyAlignment="1" applyProtection="1">
      <alignment horizontal="center"/>
      <protection locked="0"/>
    </xf>
    <xf numFmtId="0" fontId="9" fillId="0" borderId="41" xfId="0" applyFont="1" applyBorder="1" applyProtection="1">
      <protection locked="0"/>
    </xf>
    <xf numFmtId="10" fontId="3" fillId="0" borderId="42" xfId="3" applyNumberFormat="1" applyFont="1" applyFill="1" applyBorder="1" applyAlignment="1" applyProtection="1">
      <protection locked="0"/>
    </xf>
    <xf numFmtId="0" fontId="2" fillId="0" borderId="43" xfId="0" applyFont="1" applyBorder="1" applyProtection="1">
      <protection locked="0"/>
    </xf>
    <xf numFmtId="0" fontId="2" fillId="0" borderId="44" xfId="0" applyFont="1" applyBorder="1" applyProtection="1">
      <protection locked="0"/>
    </xf>
    <xf numFmtId="0" fontId="2" fillId="0" borderId="45" xfId="0" applyFont="1" applyBorder="1" applyProtection="1">
      <protection locked="0"/>
    </xf>
    <xf numFmtId="0" fontId="2" fillId="0" borderId="46" xfId="0" applyFont="1" applyBorder="1" applyProtection="1">
      <protection locked="0"/>
    </xf>
    <xf numFmtId="0" fontId="2" fillId="0" borderId="47" xfId="0" applyFont="1" applyBorder="1" applyProtection="1">
      <protection locked="0"/>
    </xf>
    <xf numFmtId="9" fontId="2" fillId="0" borderId="45" xfId="3" applyFont="1" applyFill="1" applyBorder="1" applyProtection="1">
      <protection locked="0"/>
    </xf>
    <xf numFmtId="0" fontId="2" fillId="0" borderId="48" xfId="0" applyFont="1" applyBorder="1" applyProtection="1">
      <protection locked="0"/>
    </xf>
    <xf numFmtId="0" fontId="2" fillId="0" borderId="49" xfId="0" applyFont="1" applyBorder="1" applyProtection="1">
      <protection locked="0"/>
    </xf>
    <xf numFmtId="0" fontId="2" fillId="0" borderId="50" xfId="0" applyFont="1" applyBorder="1" applyProtection="1">
      <protection locked="0"/>
    </xf>
    <xf numFmtId="0" fontId="2" fillId="0" borderId="51" xfId="0" applyFont="1" applyBorder="1" applyProtection="1">
      <protection locked="0"/>
    </xf>
    <xf numFmtId="10" fontId="5" fillId="0" borderId="6" xfId="3" applyNumberFormat="1" applyFont="1" applyBorder="1" applyProtection="1">
      <protection locked="0"/>
    </xf>
    <xf numFmtId="166" fontId="5" fillId="0" borderId="52" xfId="2" applyNumberFormat="1" applyFont="1" applyBorder="1" applyProtection="1">
      <protection locked="0"/>
    </xf>
    <xf numFmtId="166" fontId="5" fillId="0" borderId="53" xfId="2" applyNumberFormat="1" applyFont="1" applyBorder="1" applyProtection="1">
      <protection locked="0"/>
    </xf>
    <xf numFmtId="44" fontId="6" fillId="0" borderId="54" xfId="2" applyFont="1" applyBorder="1" applyProtection="1">
      <protection locked="0"/>
    </xf>
    <xf numFmtId="166" fontId="5" fillId="0" borderId="11" xfId="2" applyNumberFormat="1" applyFont="1" applyBorder="1" applyProtection="1">
      <protection locked="0"/>
    </xf>
    <xf numFmtId="44" fontId="7" fillId="0" borderId="55" xfId="2" applyFont="1" applyBorder="1" applyAlignment="1" applyProtection="1">
      <alignment horizontal="center"/>
      <protection locked="0"/>
    </xf>
    <xf numFmtId="165" fontId="3" fillId="0" borderId="67" xfId="0" applyNumberFormat="1" applyFont="1" applyBorder="1" applyProtection="1">
      <protection locked="0"/>
    </xf>
    <xf numFmtId="10" fontId="3" fillId="0" borderId="67" xfId="0" applyNumberFormat="1" applyFont="1" applyBorder="1" applyProtection="1">
      <protection locked="0"/>
    </xf>
    <xf numFmtId="0" fontId="13" fillId="7" borderId="22" xfId="0" applyFont="1" applyFill="1" applyBorder="1" applyAlignment="1">
      <alignment horizontal="center"/>
    </xf>
    <xf numFmtId="0" fontId="19" fillId="10" borderId="68" xfId="0" applyFont="1" applyFill="1" applyBorder="1" applyAlignment="1">
      <alignment horizontal="center"/>
    </xf>
    <xf numFmtId="0" fontId="19" fillId="10" borderId="69" xfId="0" applyFont="1" applyFill="1" applyBorder="1" applyAlignment="1">
      <alignment horizontal="center"/>
    </xf>
    <xf numFmtId="0" fontId="19" fillId="10" borderId="70" xfId="0" applyFont="1" applyFill="1" applyBorder="1" applyAlignment="1">
      <alignment horizontal="center"/>
    </xf>
    <xf numFmtId="0" fontId="2" fillId="0" borderId="1" xfId="0" applyFont="1" applyBorder="1" applyProtection="1">
      <protection locked="0"/>
    </xf>
    <xf numFmtId="0" fontId="2" fillId="0" borderId="2" xfId="0" applyFont="1" applyBorder="1" applyProtection="1">
      <protection locked="0"/>
    </xf>
    <xf numFmtId="0" fontId="2" fillId="0" borderId="3" xfId="0" applyFont="1" applyBorder="1" applyProtection="1">
      <protection locked="0"/>
    </xf>
    <xf numFmtId="0" fontId="10" fillId="0" borderId="4" xfId="0" applyFont="1" applyBorder="1" applyAlignment="1" applyProtection="1">
      <alignment horizontal="centerContinuous"/>
      <protection locked="0"/>
    </xf>
    <xf numFmtId="0" fontId="2" fillId="0" borderId="0" xfId="0" applyFont="1" applyAlignment="1" applyProtection="1">
      <alignment horizontal="centerContinuous"/>
      <protection locked="0"/>
    </xf>
    <xf numFmtId="0" fontId="2" fillId="0" borderId="5" xfId="0" applyFont="1" applyBorder="1" applyAlignment="1" applyProtection="1">
      <alignment horizontal="centerContinuous"/>
      <protection locked="0"/>
    </xf>
    <xf numFmtId="0" fontId="4" fillId="0" borderId="4" xfId="0" applyFont="1" applyBorder="1" applyProtection="1">
      <protection locked="0"/>
    </xf>
    <xf numFmtId="0" fontId="2" fillId="0" borderId="5" xfId="0" applyFont="1" applyBorder="1" applyProtection="1">
      <protection locked="0"/>
    </xf>
    <xf numFmtId="167" fontId="0" fillId="0" borderId="26" xfId="0" applyNumberFormat="1" applyBorder="1" applyProtection="1">
      <protection locked="0"/>
    </xf>
    <xf numFmtId="9" fontId="0" fillId="0" borderId="27" xfId="0" applyNumberFormat="1" applyBorder="1" applyProtection="1">
      <protection locked="0"/>
    </xf>
    <xf numFmtId="0" fontId="0" fillId="0" borderId="0" xfId="0" applyProtection="1">
      <protection locked="0"/>
    </xf>
    <xf numFmtId="0" fontId="14" fillId="0" borderId="0" xfId="0" applyFont="1" applyAlignment="1" applyProtection="1">
      <alignment horizontal="left"/>
      <protection locked="0"/>
    </xf>
    <xf numFmtId="0" fontId="14" fillId="0" borderId="0" xfId="0" applyFont="1" applyProtection="1">
      <protection locked="0"/>
    </xf>
    <xf numFmtId="9" fontId="14" fillId="0" borderId="0" xfId="0" applyNumberFormat="1" applyFont="1" applyProtection="1">
      <protection locked="0"/>
    </xf>
    <xf numFmtId="168" fontId="0" fillId="0" borderId="27" xfId="0" applyNumberFormat="1" applyBorder="1" applyProtection="1">
      <protection locked="0"/>
    </xf>
    <xf numFmtId="0" fontId="14" fillId="0" borderId="28" xfId="0" applyFont="1" applyBorder="1" applyAlignment="1" applyProtection="1">
      <alignment horizontal="left"/>
      <protection locked="0"/>
    </xf>
    <xf numFmtId="167" fontId="14" fillId="0" borderId="29" xfId="0" applyNumberFormat="1" applyFont="1" applyBorder="1" applyProtection="1">
      <protection locked="0"/>
    </xf>
    <xf numFmtId="168" fontId="14" fillId="0" borderId="29" xfId="0" applyNumberFormat="1" applyFont="1" applyBorder="1" applyProtection="1">
      <protection locked="0"/>
    </xf>
    <xf numFmtId="0" fontId="14" fillId="0" borderId="22" xfId="0" applyFont="1" applyBorder="1" applyAlignment="1" applyProtection="1">
      <alignment horizontal="left"/>
      <protection locked="0"/>
    </xf>
    <xf numFmtId="167" fontId="14" fillId="0" borderId="24" xfId="0" applyNumberFormat="1" applyFont="1" applyBorder="1" applyProtection="1">
      <protection locked="0"/>
    </xf>
    <xf numFmtId="168" fontId="14" fillId="0" borderId="24" xfId="0" applyNumberFormat="1" applyFont="1" applyBorder="1" applyProtection="1">
      <protection locked="0"/>
    </xf>
    <xf numFmtId="167" fontId="14" fillId="0" borderId="0" xfId="0" applyNumberFormat="1" applyFont="1" applyProtection="1">
      <protection locked="0"/>
    </xf>
    <xf numFmtId="0" fontId="14" fillId="0" borderId="30" xfId="0" applyFont="1" applyBorder="1" applyAlignment="1" applyProtection="1">
      <alignment horizontal="center"/>
      <protection locked="0"/>
    </xf>
    <xf numFmtId="168" fontId="14" fillId="0" borderId="31" xfId="0" applyNumberFormat="1" applyFont="1" applyBorder="1" applyProtection="1">
      <protection locked="0"/>
    </xf>
    <xf numFmtId="167" fontId="0" fillId="0" borderId="31" xfId="0" applyNumberFormat="1" applyBorder="1" applyProtection="1">
      <protection locked="0"/>
    </xf>
    <xf numFmtId="0" fontId="14" fillId="0" borderId="22" xfId="0" applyFont="1" applyBorder="1" applyAlignment="1" applyProtection="1">
      <alignment horizontal="center"/>
      <protection locked="0"/>
    </xf>
    <xf numFmtId="167" fontId="15" fillId="0" borderId="26" xfId="0" applyNumberFormat="1" applyFont="1" applyBorder="1" applyProtection="1">
      <protection locked="0"/>
    </xf>
    <xf numFmtId="168" fontId="16" fillId="0" borderId="27" xfId="0" applyNumberFormat="1" applyFont="1" applyBorder="1" applyProtection="1">
      <protection locked="0"/>
    </xf>
    <xf numFmtId="0" fontId="3" fillId="4" borderId="59" xfId="0" applyFont="1" applyFill="1" applyBorder="1" applyAlignment="1">
      <alignment horizontal="center"/>
    </xf>
    <xf numFmtId="0" fontId="3" fillId="4" borderId="60" xfId="0" applyFont="1" applyFill="1" applyBorder="1" applyAlignment="1">
      <alignment horizontal="center"/>
    </xf>
    <xf numFmtId="0" fontId="3" fillId="4" borderId="61" xfId="0" applyFont="1" applyFill="1" applyBorder="1" applyAlignment="1">
      <alignment horizontal="center"/>
    </xf>
    <xf numFmtId="0" fontId="3" fillId="5" borderId="62" xfId="0" applyFont="1" applyFill="1" applyBorder="1" applyAlignment="1">
      <alignment horizontal="center"/>
    </xf>
    <xf numFmtId="0" fontId="3" fillId="5" borderId="63" xfId="0" applyFont="1" applyFill="1" applyBorder="1" applyAlignment="1">
      <alignment horizontal="center"/>
    </xf>
    <xf numFmtId="0" fontId="3" fillId="6" borderId="64" xfId="0" applyFont="1" applyFill="1" applyBorder="1" applyAlignment="1">
      <alignment horizontal="center"/>
    </xf>
    <xf numFmtId="0" fontId="3" fillId="6" borderId="65" xfId="0" applyFont="1" applyFill="1" applyBorder="1" applyAlignment="1">
      <alignment horizontal="center"/>
    </xf>
    <xf numFmtId="0" fontId="3" fillId="5" borderId="64" xfId="0" applyFont="1" applyFill="1" applyBorder="1" applyAlignment="1">
      <alignment horizontal="center"/>
    </xf>
    <xf numFmtId="0" fontId="3" fillId="5" borderId="58" xfId="0" applyFont="1" applyFill="1" applyBorder="1" applyAlignment="1">
      <alignment horizontal="center"/>
    </xf>
    <xf numFmtId="0" fontId="13" fillId="9" borderId="25" xfId="0" applyFont="1" applyFill="1" applyBorder="1" applyAlignment="1">
      <alignment horizontal="left"/>
    </xf>
    <xf numFmtId="0" fontId="18" fillId="0" borderId="0" xfId="0" applyFont="1" applyAlignment="1">
      <alignment horizontal="center"/>
    </xf>
    <xf numFmtId="0" fontId="14" fillId="0" borderId="0" xfId="0" applyFont="1" applyAlignment="1" applyProtection="1">
      <alignment horizontal="center"/>
      <protection locked="0"/>
    </xf>
    <xf numFmtId="0" fontId="0" fillId="0" borderId="54" xfId="0" applyBorder="1" applyProtection="1">
      <protection locked="0"/>
    </xf>
    <xf numFmtId="0" fontId="0" fillId="0" borderId="9" xfId="0" applyBorder="1" applyProtection="1">
      <protection locked="0"/>
    </xf>
    <xf numFmtId="9" fontId="0" fillId="0" borderId="9" xfId="3" applyFont="1" applyBorder="1" applyProtection="1">
      <protection locked="0"/>
    </xf>
    <xf numFmtId="0" fontId="0" fillId="0" borderId="52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7" xfId="0" applyBorder="1" applyProtection="1">
      <protection locked="0"/>
    </xf>
    <xf numFmtId="9" fontId="0" fillId="0" borderId="17" xfId="3" applyFont="1" applyBorder="1" applyProtection="1">
      <protection locked="0"/>
    </xf>
    <xf numFmtId="0" fontId="0" fillId="0" borderId="19" xfId="0" applyBorder="1" applyProtection="1">
      <protection locked="0"/>
    </xf>
    <xf numFmtId="0" fontId="0" fillId="0" borderId="71" xfId="0" applyBorder="1" applyProtection="1">
      <protection locked="0"/>
    </xf>
    <xf numFmtId="0" fontId="0" fillId="0" borderId="72" xfId="0" applyBorder="1" applyProtection="1">
      <protection locked="0"/>
    </xf>
    <xf numFmtId="9" fontId="0" fillId="0" borderId="72" xfId="3" applyFont="1" applyBorder="1" applyProtection="1">
      <protection locked="0"/>
    </xf>
    <xf numFmtId="0" fontId="0" fillId="0" borderId="73" xfId="0" applyBorder="1" applyProtection="1">
      <protection locked="0"/>
    </xf>
    <xf numFmtId="0" fontId="13" fillId="0" borderId="25" xfId="0" applyFont="1" applyBorder="1" applyAlignment="1">
      <alignment horizontal="left"/>
    </xf>
    <xf numFmtId="0" fontId="13" fillId="0" borderId="25" xfId="0" applyFont="1" applyBorder="1" applyAlignment="1" applyProtection="1">
      <alignment horizontal="left"/>
      <protection locked="0"/>
    </xf>
    <xf numFmtId="168" fontId="14" fillId="0" borderId="74" xfId="0" applyNumberFormat="1" applyFont="1" applyBorder="1" applyProtection="1">
      <protection locked="0"/>
    </xf>
    <xf numFmtId="0" fontId="14" fillId="0" borderId="75" xfId="0" applyFont="1" applyBorder="1" applyAlignment="1" applyProtection="1">
      <alignment horizontal="left"/>
      <protection locked="0"/>
    </xf>
    <xf numFmtId="167" fontId="14" fillId="0" borderId="76" xfId="0" applyNumberFormat="1" applyFont="1" applyBorder="1" applyProtection="1">
      <protection locked="0"/>
    </xf>
    <xf numFmtId="0" fontId="0" fillId="0" borderId="17" xfId="0" applyBorder="1"/>
    <xf numFmtId="167" fontId="14" fillId="0" borderId="17" xfId="0" applyNumberFormat="1" applyFont="1" applyBorder="1" applyProtection="1">
      <protection locked="0"/>
    </xf>
    <xf numFmtId="0" fontId="14" fillId="0" borderId="17" xfId="0" applyFont="1" applyBorder="1" applyAlignment="1" applyProtection="1">
      <alignment horizontal="left"/>
      <protection locked="0"/>
    </xf>
    <xf numFmtId="0" fontId="13" fillId="9" borderId="77" xfId="0" applyFont="1" applyFill="1" applyBorder="1" applyAlignment="1">
      <alignment horizontal="left"/>
    </xf>
    <xf numFmtId="168" fontId="0" fillId="0" borderId="78" xfId="0" applyNumberFormat="1" applyBorder="1" applyProtection="1">
      <protection locked="0"/>
    </xf>
    <xf numFmtId="0" fontId="14" fillId="0" borderId="79" xfId="0" applyFont="1" applyBorder="1" applyAlignment="1" applyProtection="1">
      <alignment horizontal="left"/>
      <protection locked="0"/>
    </xf>
    <xf numFmtId="168" fontId="14" fillId="0" borderId="80" xfId="0" applyNumberFormat="1" applyFont="1" applyBorder="1" applyProtection="1">
      <protection locked="0"/>
    </xf>
    <xf numFmtId="0" fontId="14" fillId="0" borderId="81" xfId="0" applyFont="1" applyBorder="1" applyAlignment="1" applyProtection="1">
      <alignment horizontal="left"/>
      <protection locked="0"/>
    </xf>
    <xf numFmtId="0" fontId="13" fillId="0" borderId="77" xfId="0" applyFont="1" applyBorder="1" applyAlignment="1" applyProtection="1">
      <alignment horizontal="left"/>
      <protection locked="0"/>
    </xf>
    <xf numFmtId="0" fontId="14" fillId="0" borderId="82" xfId="0" applyFont="1" applyBorder="1" applyAlignment="1" applyProtection="1">
      <alignment horizontal="left"/>
      <protection locked="0"/>
    </xf>
    <xf numFmtId="0" fontId="0" fillId="0" borderId="83" xfId="0" applyBorder="1"/>
    <xf numFmtId="168" fontId="14" fillId="0" borderId="84" xfId="0" applyNumberFormat="1" applyFont="1" applyBorder="1" applyProtection="1">
      <protection locked="0"/>
    </xf>
    <xf numFmtId="0" fontId="14" fillId="0" borderId="83" xfId="0" applyFont="1" applyBorder="1" applyAlignment="1" applyProtection="1">
      <alignment horizontal="left"/>
      <protection locked="0"/>
    </xf>
    <xf numFmtId="168" fontId="14" fillId="0" borderId="85" xfId="0" applyNumberFormat="1" applyFont="1" applyBorder="1" applyProtection="1">
      <protection locked="0"/>
    </xf>
    <xf numFmtId="0" fontId="14" fillId="0" borderId="77" xfId="0" applyFont="1" applyBorder="1" applyAlignment="1" applyProtection="1">
      <alignment horizontal="center"/>
      <protection locked="0"/>
    </xf>
    <xf numFmtId="168" fontId="14" fillId="0" borderId="86" xfId="0" applyNumberFormat="1" applyFont="1" applyBorder="1" applyProtection="1">
      <protection locked="0"/>
    </xf>
    <xf numFmtId="9" fontId="14" fillId="0" borderId="87" xfId="0" applyNumberFormat="1" applyFont="1" applyBorder="1" applyProtection="1">
      <protection locked="0"/>
    </xf>
    <xf numFmtId="0" fontId="14" fillId="0" borderId="81" xfId="0" applyFont="1" applyBorder="1" applyAlignment="1" applyProtection="1">
      <alignment horizontal="center"/>
      <protection locked="0"/>
    </xf>
    <xf numFmtId="168" fontId="16" fillId="0" borderId="78" xfId="0" applyNumberFormat="1" applyFont="1" applyBorder="1" applyProtection="1">
      <protection locked="0"/>
    </xf>
    <xf numFmtId="9" fontId="0" fillId="0" borderId="78" xfId="0" applyNumberFormat="1" applyBorder="1" applyProtection="1">
      <protection locked="0"/>
    </xf>
    <xf numFmtId="0" fontId="13" fillId="7" borderId="81" xfId="0" applyFont="1" applyFill="1" applyBorder="1" applyAlignment="1">
      <alignment horizontal="center"/>
    </xf>
    <xf numFmtId="0" fontId="13" fillId="7" borderId="85" xfId="0" applyFont="1" applyFill="1" applyBorder="1" applyAlignment="1">
      <alignment horizontal="center"/>
    </xf>
    <xf numFmtId="0" fontId="19" fillId="10" borderId="88" xfId="0" applyFont="1" applyFill="1" applyBorder="1" applyAlignment="1">
      <alignment horizontal="center"/>
    </xf>
    <xf numFmtId="0" fontId="0" fillId="0" borderId="89" xfId="0" applyBorder="1" applyProtection="1">
      <protection locked="0"/>
    </xf>
    <xf numFmtId="0" fontId="0" fillId="0" borderId="90" xfId="0" applyBorder="1" applyProtection="1">
      <protection locked="0"/>
    </xf>
    <xf numFmtId="0" fontId="0" fillId="0" borderId="91" xfId="0" applyBorder="1" applyProtection="1">
      <protection locked="0"/>
    </xf>
    <xf numFmtId="0" fontId="18" fillId="0" borderId="0" xfId="0" applyFont="1" applyAlignment="1">
      <alignment horizontal="center"/>
    </xf>
    <xf numFmtId="0" fontId="11" fillId="0" borderId="22" xfId="0" applyFont="1" applyBorder="1" applyAlignment="1">
      <alignment horizontal="center"/>
    </xf>
    <xf numFmtId="0" fontId="12" fillId="0" borderId="23" xfId="0" applyFont="1" applyBorder="1"/>
    <xf numFmtId="0" fontId="0" fillId="0" borderId="0" xfId="0" applyAlignment="1">
      <alignment horizontal="center"/>
    </xf>
    <xf numFmtId="0" fontId="0" fillId="0" borderId="0" xfId="0"/>
    <xf numFmtId="0" fontId="3" fillId="3" borderId="33" xfId="0" applyFont="1" applyFill="1" applyBorder="1" applyAlignment="1">
      <alignment horizontal="center"/>
    </xf>
    <xf numFmtId="0" fontId="3" fillId="3" borderId="57" xfId="0" applyFont="1" applyFill="1" applyBorder="1" applyAlignment="1">
      <alignment horizontal="center"/>
    </xf>
    <xf numFmtId="0" fontId="3" fillId="3" borderId="33" xfId="0" applyFont="1" applyFill="1" applyBorder="1" applyAlignment="1">
      <alignment horizontal="center" wrapText="1"/>
    </xf>
    <xf numFmtId="0" fontId="0" fillId="3" borderId="57" xfId="0" applyFill="1" applyBorder="1" applyAlignment="1">
      <alignment horizontal="center" wrapText="1"/>
    </xf>
    <xf numFmtId="0" fontId="3" fillId="3" borderId="38" xfId="0" applyFont="1" applyFill="1" applyBorder="1" applyAlignment="1">
      <alignment horizontal="center"/>
    </xf>
    <xf numFmtId="0" fontId="3" fillId="3" borderId="66" xfId="0" applyFont="1" applyFill="1" applyBorder="1" applyAlignment="1">
      <alignment horizontal="center"/>
    </xf>
    <xf numFmtId="0" fontId="3" fillId="3" borderId="35" xfId="0" applyFont="1" applyFill="1" applyBorder="1" applyAlignment="1">
      <alignment horizontal="center"/>
    </xf>
    <xf numFmtId="0" fontId="3" fillId="3" borderId="36" xfId="0" applyFont="1" applyFill="1" applyBorder="1" applyAlignment="1">
      <alignment horizontal="center"/>
    </xf>
    <xf numFmtId="0" fontId="3" fillId="3" borderId="37" xfId="0" applyFont="1" applyFill="1" applyBorder="1" applyAlignment="1">
      <alignment horizontal="center"/>
    </xf>
    <xf numFmtId="0" fontId="3" fillId="3" borderId="34" xfId="0" applyFont="1" applyFill="1" applyBorder="1" applyAlignment="1">
      <alignment horizontal="center"/>
    </xf>
    <xf numFmtId="0" fontId="3" fillId="3" borderId="58" xfId="0" applyFont="1" applyFill="1" applyBorder="1" applyAlignment="1">
      <alignment horizontal="center"/>
    </xf>
    <xf numFmtId="0" fontId="17" fillId="8" borderId="32" xfId="0" applyFont="1" applyFill="1" applyBorder="1" applyAlignment="1">
      <alignment horizontal="center"/>
    </xf>
    <xf numFmtId="0" fontId="17" fillId="8" borderId="56" xfId="0" applyFont="1" applyFill="1" applyBorder="1" applyAlignment="1">
      <alignment horizontal="center"/>
    </xf>
    <xf numFmtId="0" fontId="17" fillId="8" borderId="33" xfId="0" applyFont="1" applyFill="1" applyBorder="1" applyAlignment="1">
      <alignment horizontal="center"/>
    </xf>
    <xf numFmtId="0" fontId="17" fillId="8" borderId="57" xfId="0" applyFont="1" applyFill="1" applyBorder="1" applyAlignment="1">
      <alignment horizontal="center"/>
    </xf>
    <xf numFmtId="0" fontId="17" fillId="8" borderId="34" xfId="0" applyFont="1" applyFill="1" applyBorder="1" applyAlignment="1">
      <alignment horizontal="center"/>
    </xf>
    <xf numFmtId="0" fontId="17" fillId="8" borderId="58" xfId="0" applyFont="1" applyFill="1" applyBorder="1" applyAlignment="1">
      <alignment horizontal="center"/>
    </xf>
    <xf numFmtId="0" fontId="20" fillId="0" borderId="0" xfId="0" applyFont="1"/>
    <xf numFmtId="10" fontId="0" fillId="0" borderId="27" xfId="0" applyNumberFormat="1" applyBorder="1" applyProtection="1">
      <protection locked="0"/>
    </xf>
    <xf numFmtId="10" fontId="0" fillId="0" borderId="27" xfId="0" applyNumberFormat="1" applyBorder="1" applyProtection="1">
      <protection locked="0"/>
    </xf>
    <xf numFmtId="10" fontId="16" fillId="0" borderId="27" xfId="0" applyNumberFormat="1" applyFont="1" applyBorder="1" applyProtection="1">
      <protection locked="0"/>
    </xf>
    <xf numFmtId="10" fontId="14" fillId="0" borderId="29" xfId="0" applyNumberFormat="1" applyFont="1" applyBorder="1" applyProtection="1">
      <protection locked="0"/>
    </xf>
    <xf numFmtId="10" fontId="14" fillId="0" borderId="74" xfId="0" applyNumberFormat="1" applyFont="1" applyBorder="1" applyProtection="1">
      <protection locked="0"/>
    </xf>
    <xf numFmtId="44" fontId="0" fillId="0" borderId="26" xfId="0" applyNumberFormat="1" applyBorder="1" applyProtection="1">
      <protection locked="0"/>
    </xf>
    <xf numFmtId="44" fontId="0" fillId="0" borderId="31" xfId="0" applyNumberFormat="1" applyBorder="1" applyProtection="1">
      <protection locked="0"/>
    </xf>
    <xf numFmtId="44" fontId="15" fillId="0" borderId="26" xfId="0" applyNumberFormat="1" applyFont="1" applyBorder="1" applyProtection="1">
      <protection locked="0"/>
    </xf>
    <xf numFmtId="44" fontId="14" fillId="0" borderId="29" xfId="0" applyNumberFormat="1" applyFont="1" applyBorder="1" applyProtection="1">
      <protection locked="0"/>
    </xf>
    <xf numFmtId="44" fontId="14" fillId="0" borderId="76" xfId="0" applyNumberFormat="1" applyFont="1" applyBorder="1" applyProtection="1">
      <protection locked="0"/>
    </xf>
    <xf numFmtId="44" fontId="14" fillId="0" borderId="17" xfId="0" applyNumberFormat="1" applyFont="1" applyBorder="1" applyProtection="1">
      <protection locked="0"/>
    </xf>
    <xf numFmtId="44" fontId="14" fillId="0" borderId="24" xfId="0" applyNumberFormat="1" applyFont="1" applyBorder="1" applyProtection="1">
      <protection locked="0"/>
    </xf>
    <xf numFmtId="3" fontId="5" fillId="2" borderId="11" xfId="1" applyNumberFormat="1" applyFont="1" applyFill="1" applyBorder="1" applyAlignment="1" applyProtection="1">
      <alignment horizontal="center" vertical="center"/>
      <protection locked="0"/>
    </xf>
    <xf numFmtId="44" fontId="3" fillId="0" borderId="11" xfId="2" applyNumberFormat="1" applyFont="1" applyBorder="1" applyProtection="1">
      <protection locked="0"/>
    </xf>
    <xf numFmtId="44" fontId="5" fillId="0" borderId="8" xfId="2" applyNumberFormat="1" applyFont="1" applyBorder="1" applyProtection="1">
      <protection locked="0"/>
    </xf>
    <xf numFmtId="10" fontId="5" fillId="0" borderId="9" xfId="3" applyNumberFormat="1" applyFont="1" applyBorder="1" applyAlignment="1" applyProtection="1">
      <alignment horizontal="left"/>
      <protection locked="0"/>
    </xf>
    <xf numFmtId="44" fontId="5" fillId="0" borderId="10" xfId="2" applyNumberFormat="1" applyFont="1" applyBorder="1" applyProtection="1">
      <protection locked="0"/>
    </xf>
    <xf numFmtId="10" fontId="5" fillId="0" borderId="6" xfId="3" applyNumberFormat="1" applyFont="1" applyBorder="1" applyProtection="1">
      <protection locked="0"/>
    </xf>
    <xf numFmtId="44" fontId="5" fillId="0" borderId="52" xfId="2" applyNumberFormat="1" applyFont="1" applyBorder="1" applyProtection="1">
      <protection locked="0"/>
    </xf>
    <xf numFmtId="44" fontId="5" fillId="0" borderId="53" xfId="2" applyNumberFormat="1" applyFont="1" applyBorder="1" applyProtection="1">
      <protection locked="0"/>
    </xf>
    <xf numFmtId="44" fontId="6" fillId="0" borderId="54" xfId="2" applyFont="1" applyBorder="1" applyProtection="1" applyNumberFormat="1">
      <protection locked="0"/>
    </xf>
    <xf numFmtId="10" fontId="6" fillId="0" borderId="10" xfId="3" applyNumberFormat="1" applyFont="1" applyBorder="1" applyProtection="1">
      <protection locked="0"/>
    </xf>
    <xf numFmtId="44" fontId="5" fillId="0" borderId="14" xfId="2" applyNumberFormat="1" applyFont="1" applyBorder="1" applyProtection="1">
      <protection locked="0"/>
    </xf>
    <xf numFmtId="44" fontId="5" fillId="0" borderId="11" xfId="2" applyNumberFormat="1" applyFont="1" applyBorder="1" applyProtection="1">
      <protection locked="0"/>
    </xf>
    <xf numFmtId="10" fontId="5" fillId="0" borderId="11" xfId="3" applyFont="1" applyBorder="1" applyProtection="1" applyNumberFormat="1">
      <protection locked="0"/>
    </xf>
    <xf numFmtId="44" fontId="7" fillId="0" borderId="55" xfId="2" applyFont="1" applyBorder="1" applyAlignment="1" applyProtection="1" applyNumberFormat="1">
      <alignment horizontal="center"/>
      <protection locked="0"/>
    </xf>
    <xf numFmtId="44" fontId="3" fillId="0" borderId="67" xfId="0" applyNumberFormat="1" applyFont="1" applyBorder="1" applyProtection="1">
      <protection locked="0"/>
    </xf>
    <xf numFmtId="10" fontId="3" fillId="0" borderId="67" xfId="0" applyNumberFormat="1" applyFont="1" applyBorder="1" applyProtection="1">
      <protection locked="0"/>
    </xf>
    <xf numFmtId="44" fontId="0" fillId="0" borderId="0" xfId="0" applyProtection="1" applyNumberFormat="1">
      <protection locked="0"/>
    </xf>
    <xf numFmtId="10" fontId="0" fillId="0" borderId="78" xfId="0" applyNumberFormat="1" applyBorder="1" applyProtection="1">
      <protection locked="0"/>
    </xf>
    <xf numFmtId="10" fontId="0" fillId="0" borderId="78" xfId="0" applyNumberFormat="1" applyBorder="1" applyProtection="1">
      <protection locked="0"/>
    </xf>
    <xf numFmtId="10" fontId="16" fillId="0" borderId="78" xfId="0" applyNumberFormat="1" applyFont="1" applyBorder="1" applyProtection="1">
      <protection locked="0"/>
    </xf>
    <xf numFmtId="10" fontId="14" fillId="0" borderId="80" xfId="0" applyNumberFormat="1" applyFont="1" applyBorder="1" applyProtection="1">
      <protection locked="0"/>
    </xf>
    <xf numFmtId="10" fontId="14" fillId="0" borderId="84" xfId="0" applyNumberFormat="1" applyFont="1" applyBorder="1" applyProtection="1">
      <protection locked="0"/>
    </xf>
    <xf numFmtId="3" fontId="0" fillId="0" borderId="89" xfId="0" applyBorder="1" applyProtection="1" applyNumberFormat="1">
      <protection locked="0"/>
    </xf>
    <xf numFmtId="44" fontId="0" fillId="0" borderId="9" xfId="0" applyBorder="1" applyProtection="1" applyNumberFormat="1">
      <protection locked="0"/>
    </xf>
    <xf numFmtId="10" fontId="0" fillId="0" borderId="9" xfId="3" applyFont="1" applyBorder="1" applyProtection="1" applyNumberFormat="1">
      <protection locked="0"/>
    </xf>
    <xf numFmtId="44" fontId="0" fillId="0" borderId="52" xfId="0" applyBorder="1" applyProtection="1" applyNumberFormat="1">
      <protection locked="0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0"/>
  <tableStyles count="0" defaultTableStyle="TableStyleMedium2" defaultPivotStyle="PivotStyleLight16"/>
  <colors>
    <mruColors>
      <color rgb="FFD9FFF3"/>
      <color rgb="FF9B9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100" Type="http://schemas.openxmlformats.org/officeDocument/2006/relationships/worksheet" Target="worksheets/sheet10.xml"/><Relationship Id="rId101" Type="http://schemas.openxmlformats.org/officeDocument/2006/relationships/worksheet" Target="worksheets/sheet11.xml"/><Relationship Id="rId102" Type="http://schemas.openxmlformats.org/officeDocument/2006/relationships/worksheet" Target="worksheets/sheet12.xml"/><Relationship Id="rId103" Type="http://schemas.openxmlformats.org/officeDocument/2006/relationships/worksheet" Target="worksheets/sheet13.xml"/><Relationship Id="rId104" Type="http://schemas.openxmlformats.org/officeDocument/2006/relationships/worksheet" Target="worksheets/sheet14.xml"/><Relationship Id="rId105" Type="http://schemas.openxmlformats.org/officeDocument/2006/relationships/worksheet" Target="worksheets/sheet1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jpeg"/><Relationship Id="rId3" Type="http://schemas.openxmlformats.org/officeDocument/2006/relationships/image" Target="../media/image9.jpeg"/><Relationship Id="rId7" Type="http://schemas.openxmlformats.org/officeDocument/2006/relationships/image" Target="../media/image12.jpeg"/><Relationship Id="rId2" Type="http://schemas.openxmlformats.org/officeDocument/2006/relationships/image" Target="../media/image2.jpg"/><Relationship Id="rId1" Type="http://schemas.openxmlformats.org/officeDocument/2006/relationships/image" Target="../media/image8.jpeg"/><Relationship Id="rId6" Type="http://schemas.openxmlformats.org/officeDocument/2006/relationships/image" Target="../media/image11.jpeg"/><Relationship Id="rId5" Type="http://schemas.openxmlformats.org/officeDocument/2006/relationships/image" Target="../media/image10.jpeg"/><Relationship Id="rId4" Type="http://schemas.openxmlformats.org/officeDocument/2006/relationships/image" Target="../media/image7.jpeg"/><Relationship Id="rId9" Type="http://schemas.openxmlformats.org/officeDocument/2006/relationships/image" Target="../media/image6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g"/><Relationship Id="rId6" Type="http://schemas.openxmlformats.org/officeDocument/2006/relationships/image" Target="../media/image7.jpeg"/><Relationship Id="rId5" Type="http://schemas.openxmlformats.org/officeDocument/2006/relationships/image" Target="../media/image6.jpeg"/><Relationship Id="rId4" Type="http://schemas.openxmlformats.org/officeDocument/2006/relationships/image" Target="../media/image5.jpeg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jpeg"/><Relationship Id="rId3" Type="http://schemas.openxmlformats.org/officeDocument/2006/relationships/image" Target="../media/image9.jpeg"/><Relationship Id="rId7" Type="http://schemas.openxmlformats.org/officeDocument/2006/relationships/image" Target="../media/image12.jpeg"/><Relationship Id="rId2" Type="http://schemas.openxmlformats.org/officeDocument/2006/relationships/image" Target="../media/image2.jpg"/><Relationship Id="rId1" Type="http://schemas.openxmlformats.org/officeDocument/2006/relationships/image" Target="../media/image8.jpeg"/><Relationship Id="rId6" Type="http://schemas.openxmlformats.org/officeDocument/2006/relationships/image" Target="../media/image11.jpeg"/><Relationship Id="rId5" Type="http://schemas.openxmlformats.org/officeDocument/2006/relationships/image" Target="../media/image10.jpeg"/><Relationship Id="rId4" Type="http://schemas.openxmlformats.org/officeDocument/2006/relationships/image" Target="../media/image7.jpeg"/><Relationship Id="rId9" Type="http://schemas.openxmlformats.org/officeDocument/2006/relationships/image" Target="../media/image6.jpe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g"/><Relationship Id="rId6" Type="http://schemas.openxmlformats.org/officeDocument/2006/relationships/image" Target="../media/image7.jpeg"/><Relationship Id="rId5" Type="http://schemas.openxmlformats.org/officeDocument/2006/relationships/image" Target="../media/image6.jpeg"/><Relationship Id="rId4" Type="http://schemas.openxmlformats.org/officeDocument/2006/relationships/image" Target="../media/image5.jpeg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jpeg"/><Relationship Id="rId3" Type="http://schemas.openxmlformats.org/officeDocument/2006/relationships/image" Target="../media/image9.jpeg"/><Relationship Id="rId7" Type="http://schemas.openxmlformats.org/officeDocument/2006/relationships/image" Target="../media/image12.jpeg"/><Relationship Id="rId2" Type="http://schemas.openxmlformats.org/officeDocument/2006/relationships/image" Target="../media/image2.jpg"/><Relationship Id="rId1" Type="http://schemas.openxmlformats.org/officeDocument/2006/relationships/image" Target="../media/image8.jpeg"/><Relationship Id="rId6" Type="http://schemas.openxmlformats.org/officeDocument/2006/relationships/image" Target="../media/image11.jpeg"/><Relationship Id="rId5" Type="http://schemas.openxmlformats.org/officeDocument/2006/relationships/image" Target="../media/image10.jpeg"/><Relationship Id="rId4" Type="http://schemas.openxmlformats.org/officeDocument/2006/relationships/image" Target="../media/image7.jpeg"/><Relationship Id="rId9" Type="http://schemas.openxmlformats.org/officeDocument/2006/relationships/image" Target="../media/image6.jpe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g"/><Relationship Id="rId6" Type="http://schemas.openxmlformats.org/officeDocument/2006/relationships/image" Target="../media/image7.jpeg"/><Relationship Id="rId5" Type="http://schemas.openxmlformats.org/officeDocument/2006/relationships/image" Target="../media/image6.jpe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13</xdr:col>
      <xdr:colOff>698500</xdr:colOff>
      <xdr:row>41</xdr:row>
      <xdr:rowOff>50800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E80EB87-25A7-5948-1D8B-27213B71D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0" y="0"/>
          <a:ext cx="8953500" cy="83820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4</xdr:row>
      <xdr:rowOff>0</xdr:rowOff>
    </xdr:from>
    <xdr:to>
      <xdr:col>23</xdr:col>
      <xdr:colOff>914400</xdr:colOff>
      <xdr:row>6</xdr:row>
      <xdr:rowOff>203200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277840B5-A723-B60A-A394-95528A4C00E8}"/>
            </a:ext>
          </a:extLst>
        </xdr:cNvPr>
        <xdr:cNvGrpSpPr/>
      </xdr:nvGrpSpPr>
      <xdr:grpSpPr>
        <a:xfrm>
          <a:off x="10071100" y="977900"/>
          <a:ext cx="16560800" cy="647700"/>
          <a:chOff x="10401300" y="5283200"/>
          <a:chExt cx="16446500" cy="647700"/>
        </a:xfrm>
      </xdr:grpSpPr>
      <xdr:sp macro="" textlink="">
        <xdr:nvSpPr>
          <xdr:cNvPr id="8" name="Retângulo 7">
            <a:extLst>
              <a:ext uri="{FF2B5EF4-FFF2-40B4-BE49-F238E27FC236}">
                <a16:creationId xmlns:a16="http://schemas.microsoft.com/office/drawing/2014/main" id="{A06A1D5F-3210-2F5B-97B9-F2914042B6FC}"/>
              </a:ext>
            </a:extLst>
          </xdr:cNvPr>
          <xdr:cNvSpPr/>
        </xdr:nvSpPr>
        <xdr:spPr>
          <a:xfrm>
            <a:off x="10401300" y="5283200"/>
            <a:ext cx="16446500" cy="647700"/>
          </a:xfrm>
          <a:prstGeom prst="rect">
            <a:avLst/>
          </a:prstGeom>
          <a:solidFill>
            <a:schemeClr val="accent5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8B92D0AC-8CD7-5C4A-9C4B-9673A4D8FE2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401300" y="5283200"/>
            <a:ext cx="1198938" cy="647700"/>
          </a:xfrm>
          <a:prstGeom prst="rect">
            <a:avLst/>
          </a:prstGeom>
        </xdr:spPr>
      </xdr:pic>
      <xdr:sp macro="" textlink="">
        <xdr:nvSpPr>
          <xdr:cNvPr id="11" name="Retângulo 10">
            <a:extLst>
              <a:ext uri="{FF2B5EF4-FFF2-40B4-BE49-F238E27FC236}">
                <a16:creationId xmlns:a16="http://schemas.microsoft.com/office/drawing/2014/main" id="{0BA729CE-6D6B-747C-80E2-D20BEA3D65B5}"/>
              </a:ext>
            </a:extLst>
          </xdr:cNvPr>
          <xdr:cNvSpPr/>
        </xdr:nvSpPr>
        <xdr:spPr>
          <a:xfrm>
            <a:off x="16243630" y="5461000"/>
            <a:ext cx="4698877" cy="292100"/>
          </a:xfrm>
          <a:prstGeom prst="rect">
            <a:avLst/>
          </a:prstGeom>
          <a:noFill/>
        </xdr:spPr>
        <xdr:txBody>
          <a:bodyPr wrap="square" lIns="91440" tIns="45720" rIns="91440" bIns="45720">
            <a:noAutofit/>
          </a:bodyPr>
          <a:lstStyle/>
          <a:p>
            <a:pPr algn="ctr"/>
            <a:r>
              <a:rPr lang="pt-BR" sz="1800" b="0" cap="none" spc="0">
                <a:ln w="0"/>
                <a:solidFill>
                  <a:sysClr val="windowText" lastClr="000000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CUSTO PELA MARGEM DE CONTRIBUIÇÃO</a:t>
            </a:r>
          </a:p>
        </xdr:txBody>
      </xdr:sp>
    </xdr:grpSp>
    <xdr:clientData/>
  </xdr:twoCellAnchor>
  <xdr:twoCellAnchor>
    <xdr:from>
      <xdr:col>0</xdr:col>
      <xdr:colOff>0</xdr:colOff>
      <xdr:row>323</xdr:row>
      <xdr:rowOff>0</xdr:rowOff>
    </xdr:from>
    <xdr:to>
      <xdr:col>48</xdr:col>
      <xdr:colOff>635000</xdr:colOff>
      <xdr:row>325</xdr:row>
      <xdr:rowOff>38100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B21C8E7E-7AFB-584B-A64B-BCB1DC3DC9BB}"/>
            </a:ext>
          </a:extLst>
        </xdr:cNvPr>
        <xdr:cNvGrpSpPr/>
      </xdr:nvGrpSpPr>
      <xdr:grpSpPr>
        <a:xfrm>
          <a:off x="0" y="61887100"/>
          <a:ext cx="50482500" cy="419100"/>
          <a:chOff x="0" y="75996800"/>
          <a:chExt cx="51346100" cy="419100"/>
        </a:xfrm>
      </xdr:grpSpPr>
      <xdr:sp macro="" textlink="">
        <xdr:nvSpPr>
          <xdr:cNvPr id="14" name="Retângulo 13">
            <a:extLst>
              <a:ext uri="{FF2B5EF4-FFF2-40B4-BE49-F238E27FC236}">
                <a16:creationId xmlns:a16="http://schemas.microsoft.com/office/drawing/2014/main" id="{F12982F9-1A05-66BC-587E-EDB9C10D00F2}"/>
              </a:ext>
            </a:extLst>
          </xdr:cNvPr>
          <xdr:cNvSpPr/>
        </xdr:nvSpPr>
        <xdr:spPr>
          <a:xfrm>
            <a:off x="0" y="75996800"/>
            <a:ext cx="51346100" cy="419100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15" name="image3.jpg">
            <a:extLst>
              <a:ext uri="{FF2B5EF4-FFF2-40B4-BE49-F238E27FC236}">
                <a16:creationId xmlns:a16="http://schemas.microsoft.com/office/drawing/2014/main" id="{1227C07E-A567-AA00-436B-C7DE56C1382B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2" cstate="print"/>
          <a:stretch>
            <a:fillRect/>
          </a:stretch>
        </xdr:blipFill>
        <xdr:spPr>
          <a:xfrm>
            <a:off x="0" y="75996800"/>
            <a:ext cx="965200" cy="419100"/>
          </a:xfrm>
          <a:prstGeom prst="rect">
            <a:avLst/>
          </a:prstGeom>
          <a:noFill/>
        </xdr:spPr>
      </xdr:pic>
    </xdr:grpSp>
    <xdr:clientData/>
  </xdr:twoCellAnchor>
  <xdr:twoCellAnchor>
    <xdr:from>
      <xdr:col>1</xdr:col>
      <xdr:colOff>0</xdr:colOff>
      <xdr:row>3</xdr:row>
      <xdr:rowOff>177800</xdr:rowOff>
    </xdr:from>
    <xdr:to>
      <xdr:col>4</xdr:col>
      <xdr:colOff>12700</xdr:colOff>
      <xdr:row>5</xdr:row>
      <xdr:rowOff>152400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59EFEC20-7647-F040-B079-40F2D1110A67}"/>
            </a:ext>
          </a:extLst>
        </xdr:cNvPr>
        <xdr:cNvGrpSpPr/>
      </xdr:nvGrpSpPr>
      <xdr:grpSpPr>
        <a:xfrm>
          <a:off x="584200" y="571500"/>
          <a:ext cx="6985000" cy="774700"/>
          <a:chOff x="8356600" y="4406900"/>
          <a:chExt cx="6985000" cy="622300"/>
        </a:xfrm>
      </xdr:grpSpPr>
      <xdr:sp macro="" textlink="">
        <xdr:nvSpPr>
          <xdr:cNvPr id="5" name="Retângulo 4">
            <a:extLst>
              <a:ext uri="{FF2B5EF4-FFF2-40B4-BE49-F238E27FC236}">
                <a16:creationId xmlns:a16="http://schemas.microsoft.com/office/drawing/2014/main" id="{B8D4741B-4C22-A83A-D65F-6899AFE6905D}"/>
              </a:ext>
            </a:extLst>
          </xdr:cNvPr>
          <xdr:cNvSpPr/>
        </xdr:nvSpPr>
        <xdr:spPr>
          <a:xfrm>
            <a:off x="8356600" y="4406900"/>
            <a:ext cx="6985000" cy="622300"/>
          </a:xfrm>
          <a:prstGeom prst="rect">
            <a:avLst/>
          </a:prstGeom>
          <a:solidFill>
            <a:schemeClr val="accent6">
              <a:lumMod val="5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bg1"/>
              </a:solidFill>
            </a:endParaRPr>
          </a:p>
        </xdr:txBody>
      </xdr:sp>
      <xdr:pic>
        <xdr:nvPicPr>
          <xdr:cNvPr id="10" name="Imagem 9">
            <a:extLst>
              <a:ext uri="{FF2B5EF4-FFF2-40B4-BE49-F238E27FC236}">
                <a16:creationId xmlns:a16="http://schemas.microsoft.com/office/drawing/2014/main" id="{61DECF16-5B59-E48F-0643-7DB5DA0E226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432800" y="4468109"/>
            <a:ext cx="952500" cy="474573"/>
          </a:xfrm>
          <a:prstGeom prst="rect">
            <a:avLst/>
          </a:prstGeom>
        </xdr:spPr>
      </xdr:pic>
      <xdr:sp macro="" textlink="">
        <xdr:nvSpPr>
          <xdr:cNvPr id="16" name="Retângulo 15">
            <a:extLst>
              <a:ext uri="{FF2B5EF4-FFF2-40B4-BE49-F238E27FC236}">
                <a16:creationId xmlns:a16="http://schemas.microsoft.com/office/drawing/2014/main" id="{DCA55288-9E44-14B0-A47C-66BA4524FC50}"/>
              </a:ext>
            </a:extLst>
          </xdr:cNvPr>
          <xdr:cNvSpPr/>
        </xdr:nvSpPr>
        <xdr:spPr>
          <a:xfrm>
            <a:off x="9474200" y="4528635"/>
            <a:ext cx="5702300" cy="342723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pt-BR" sz="1600" b="1" cap="none" spc="0">
                <a:ln w="0"/>
                <a:solidFill>
                  <a:schemeClr val="bg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DEMONSTRATIVO RESULTADOS DO EXERCICIO</a:t>
            </a:r>
          </a:p>
        </xdr:txBody>
      </xdr:sp>
    </xdr:grpSp>
    <xdr:clientData/>
  </xdr:twoCellAnchor>
  <xdr:twoCellAnchor>
    <xdr:from>
      <xdr:col>1</xdr:col>
      <xdr:colOff>4406900</xdr:colOff>
      <xdr:row>8</xdr:row>
      <xdr:rowOff>241300</xdr:rowOff>
    </xdr:from>
    <xdr:to>
      <xdr:col>2</xdr:col>
      <xdr:colOff>0</xdr:colOff>
      <xdr:row>9</xdr:row>
      <xdr:rowOff>215900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24A9B245-48B2-6C4C-9C45-A8B17292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1663700"/>
          <a:ext cx="508000" cy="228600"/>
        </a:xfrm>
        <a:prstGeom prst="rect">
          <a:avLst/>
        </a:prstGeom>
      </xdr:spPr>
    </xdr:pic>
    <xdr:clientData/>
  </xdr:twoCellAnchor>
  <xdr:twoCellAnchor>
    <xdr:from>
      <xdr:col>0</xdr:col>
      <xdr:colOff>499477</xdr:colOff>
      <xdr:row>10</xdr:row>
      <xdr:rowOff>203200</xdr:rowOff>
    </xdr:from>
    <xdr:to>
      <xdr:col>2</xdr:col>
      <xdr:colOff>0</xdr:colOff>
      <xdr:row>12</xdr:row>
      <xdr:rowOff>51605</xdr:rowOff>
    </xdr:to>
    <xdr:grpSp>
      <xdr:nvGrpSpPr>
        <xdr:cNvPr id="42" name="Agrupar 41">
          <a:extLst>
            <a:ext uri="{FF2B5EF4-FFF2-40B4-BE49-F238E27FC236}">
              <a16:creationId xmlns:a16="http://schemas.microsoft.com/office/drawing/2014/main" id="{61498482-B4B5-BB68-5B8F-8D254C076269}"/>
            </a:ext>
          </a:extLst>
        </xdr:cNvPr>
        <xdr:cNvGrpSpPr/>
      </xdr:nvGrpSpPr>
      <xdr:grpSpPr>
        <a:xfrm>
          <a:off x="499477" y="2514600"/>
          <a:ext cx="4999623" cy="280205"/>
          <a:chOff x="499477" y="2514600"/>
          <a:chExt cx="4999623" cy="280205"/>
        </a:xfrm>
      </xdr:grpSpPr>
      <xdr:sp macro="" textlink="">
        <xdr:nvSpPr>
          <xdr:cNvPr id="19" name="Retângulo 18">
            <a:extLst>
              <a:ext uri="{FF2B5EF4-FFF2-40B4-BE49-F238E27FC236}">
                <a16:creationId xmlns:a16="http://schemas.microsoft.com/office/drawing/2014/main" id="{7D9471B1-1146-5173-1812-A65D9107476C}"/>
              </a:ext>
            </a:extLst>
          </xdr:cNvPr>
          <xdr:cNvSpPr/>
        </xdr:nvSpPr>
        <xdr:spPr>
          <a:xfrm>
            <a:off x="558800" y="2514600"/>
            <a:ext cx="4927600" cy="230939"/>
          </a:xfrm>
          <a:prstGeom prst="rect">
            <a:avLst/>
          </a:prstGeom>
          <a:solidFill>
            <a:srgbClr val="C00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0" name="Retângulo 19">
            <a:extLst>
              <a:ext uri="{FF2B5EF4-FFF2-40B4-BE49-F238E27FC236}">
                <a16:creationId xmlns:a16="http://schemas.microsoft.com/office/drawing/2014/main" id="{5A2BC609-912A-EEE1-185D-620CC82B2345}"/>
              </a:ext>
            </a:extLst>
          </xdr:cNvPr>
          <xdr:cNvSpPr/>
        </xdr:nvSpPr>
        <xdr:spPr>
          <a:xfrm>
            <a:off x="499477" y="2527300"/>
            <a:ext cx="2081660" cy="267505"/>
          </a:xfrm>
          <a:prstGeom prst="rect">
            <a:avLst/>
          </a:prstGeom>
          <a:noFill/>
        </xdr:spPr>
        <xdr:txBody>
          <a:bodyPr wrap="none" lIns="91440" tIns="45720" rIns="91440" bIns="45720">
            <a:noAutofit/>
          </a:bodyPr>
          <a:lstStyle/>
          <a:p>
            <a:pPr algn="ctr"/>
            <a:r>
              <a:rPr lang="pt-BR" sz="1200" b="1" cap="none" spc="0">
                <a:ln w="0"/>
                <a:solidFill>
                  <a:schemeClr val="bg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2. Custos Variáveis de Vendas</a:t>
            </a:r>
          </a:p>
        </xdr:txBody>
      </xdr:sp>
      <xdr:pic>
        <xdr:nvPicPr>
          <xdr:cNvPr id="21" name="Imagem 20">
            <a:extLst>
              <a:ext uri="{FF2B5EF4-FFF2-40B4-BE49-F238E27FC236}">
                <a16:creationId xmlns:a16="http://schemas.microsoft.com/office/drawing/2014/main" id="{6E1FDD9F-F163-C3F8-39D3-6B0DCBAC26C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016500" y="2563673"/>
            <a:ext cx="482600" cy="172772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457200</xdr:colOff>
      <xdr:row>19</xdr:row>
      <xdr:rowOff>0</xdr:rowOff>
    </xdr:from>
    <xdr:to>
      <xdr:col>1</xdr:col>
      <xdr:colOff>4902200</xdr:colOff>
      <xdr:row>20</xdr:row>
      <xdr:rowOff>26141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16A6B575-7391-4541-8BB8-3F58FFCB4543}"/>
            </a:ext>
          </a:extLst>
        </xdr:cNvPr>
        <xdr:cNvGrpSpPr/>
      </xdr:nvGrpSpPr>
      <xdr:grpSpPr>
        <a:xfrm>
          <a:off x="457200" y="4229100"/>
          <a:ext cx="5029200" cy="242041"/>
          <a:chOff x="435977" y="2044700"/>
          <a:chExt cx="5029200" cy="280141"/>
        </a:xfrm>
      </xdr:grpSpPr>
      <xdr:sp macro="" textlink="">
        <xdr:nvSpPr>
          <xdr:cNvPr id="23" name="Retângulo 22">
            <a:extLst>
              <a:ext uri="{FF2B5EF4-FFF2-40B4-BE49-F238E27FC236}">
                <a16:creationId xmlns:a16="http://schemas.microsoft.com/office/drawing/2014/main" id="{B86DC964-E246-E3F9-62B2-59CE2914B786}"/>
              </a:ext>
            </a:extLst>
          </xdr:cNvPr>
          <xdr:cNvSpPr/>
        </xdr:nvSpPr>
        <xdr:spPr>
          <a:xfrm>
            <a:off x="562978" y="2059399"/>
            <a:ext cx="4889500" cy="226600"/>
          </a:xfrm>
          <a:prstGeom prst="rect">
            <a:avLst/>
          </a:prstGeom>
          <a:solidFill>
            <a:srgbClr val="C00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4" name="Retângulo 23">
            <a:extLst>
              <a:ext uri="{FF2B5EF4-FFF2-40B4-BE49-F238E27FC236}">
                <a16:creationId xmlns:a16="http://schemas.microsoft.com/office/drawing/2014/main" id="{42D561E0-5724-D0B5-5503-60E8F71B624B}"/>
              </a:ext>
            </a:extLst>
          </xdr:cNvPr>
          <xdr:cNvSpPr/>
        </xdr:nvSpPr>
        <xdr:spPr>
          <a:xfrm>
            <a:off x="435977" y="2044700"/>
            <a:ext cx="2349500" cy="280141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pt-BR" sz="1200" b="1" cap="none" spc="0">
                <a:ln w="0"/>
                <a:solidFill>
                  <a:schemeClr val="bg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3. Custos Variáveis de Produção</a:t>
            </a:r>
          </a:p>
        </xdr:txBody>
      </xdr:sp>
      <xdr:pic>
        <xdr:nvPicPr>
          <xdr:cNvPr id="25" name="Imagem 24">
            <a:extLst>
              <a:ext uri="{FF2B5EF4-FFF2-40B4-BE49-F238E27FC236}">
                <a16:creationId xmlns:a16="http://schemas.microsoft.com/office/drawing/2014/main" id="{02167891-935A-DCD5-7AD8-C908ABFCFFC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91100" y="2095500"/>
            <a:ext cx="474077" cy="177779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241300</xdr:colOff>
      <xdr:row>29</xdr:row>
      <xdr:rowOff>177801</xdr:rowOff>
    </xdr:from>
    <xdr:to>
      <xdr:col>2</xdr:col>
      <xdr:colOff>0</xdr:colOff>
      <xdr:row>31</xdr:row>
      <xdr:rowOff>38842</xdr:rowOff>
    </xdr:to>
    <xdr:grpSp>
      <xdr:nvGrpSpPr>
        <xdr:cNvPr id="43" name="Agrupar 42">
          <a:extLst>
            <a:ext uri="{FF2B5EF4-FFF2-40B4-BE49-F238E27FC236}">
              <a16:creationId xmlns:a16="http://schemas.microsoft.com/office/drawing/2014/main" id="{525A7692-C631-B1E3-D2CD-55FE46CA3C9B}"/>
            </a:ext>
          </a:extLst>
        </xdr:cNvPr>
        <xdr:cNvGrpSpPr/>
      </xdr:nvGrpSpPr>
      <xdr:grpSpPr>
        <a:xfrm>
          <a:off x="241300" y="6438901"/>
          <a:ext cx="5257800" cy="242041"/>
          <a:chOff x="241300" y="6438901"/>
          <a:chExt cx="5257800" cy="242041"/>
        </a:xfrm>
      </xdr:grpSpPr>
      <xdr:sp macro="" textlink="">
        <xdr:nvSpPr>
          <xdr:cNvPr id="27" name="Retângulo 26">
            <a:extLst>
              <a:ext uri="{FF2B5EF4-FFF2-40B4-BE49-F238E27FC236}">
                <a16:creationId xmlns:a16="http://schemas.microsoft.com/office/drawing/2014/main" id="{0A212B3F-538B-A538-2309-9046EEC24FA4}"/>
              </a:ext>
            </a:extLst>
          </xdr:cNvPr>
          <xdr:cNvSpPr/>
        </xdr:nvSpPr>
        <xdr:spPr>
          <a:xfrm>
            <a:off x="596901" y="6438901"/>
            <a:ext cx="4889500" cy="210243"/>
          </a:xfrm>
          <a:prstGeom prst="rect">
            <a:avLst/>
          </a:prstGeom>
          <a:solidFill>
            <a:srgbClr val="C00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8" name="Retângulo 27">
            <a:extLst>
              <a:ext uri="{FF2B5EF4-FFF2-40B4-BE49-F238E27FC236}">
                <a16:creationId xmlns:a16="http://schemas.microsoft.com/office/drawing/2014/main" id="{CB39CD56-6116-26CE-C4FD-03307146CC79}"/>
              </a:ext>
            </a:extLst>
          </xdr:cNvPr>
          <xdr:cNvSpPr/>
        </xdr:nvSpPr>
        <xdr:spPr>
          <a:xfrm>
            <a:off x="241300" y="6451601"/>
            <a:ext cx="2349500" cy="229341"/>
          </a:xfrm>
          <a:prstGeom prst="rect">
            <a:avLst/>
          </a:prstGeom>
          <a:noFill/>
        </xdr:spPr>
        <xdr:txBody>
          <a:bodyPr wrap="square" lIns="91440" tIns="45720" rIns="91440" bIns="45720">
            <a:noAutofit/>
          </a:bodyPr>
          <a:lstStyle/>
          <a:p>
            <a:pPr algn="ctr"/>
            <a:r>
              <a:rPr lang="pt-BR" sz="1200" b="1" cap="none" spc="0">
                <a:ln w="0"/>
                <a:solidFill>
                  <a:schemeClr val="bg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4. Custos Variáveis  Total</a:t>
            </a:r>
          </a:p>
        </xdr:txBody>
      </xdr:sp>
      <xdr:pic>
        <xdr:nvPicPr>
          <xdr:cNvPr id="29" name="Imagem 28">
            <a:extLst>
              <a:ext uri="{FF2B5EF4-FFF2-40B4-BE49-F238E27FC236}">
                <a16:creationId xmlns:a16="http://schemas.microsoft.com/office/drawing/2014/main" id="{A1254F93-F2B6-B9FA-01D7-8EC6106BC6D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025023" y="6493189"/>
            <a:ext cx="474077" cy="145541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317500</xdr:colOff>
      <xdr:row>31</xdr:row>
      <xdr:rowOff>165100</xdr:rowOff>
    </xdr:from>
    <xdr:to>
      <xdr:col>2</xdr:col>
      <xdr:colOff>0</xdr:colOff>
      <xdr:row>33</xdr:row>
      <xdr:rowOff>38841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753058F1-3F09-6441-9F13-1C0C5054391A}"/>
            </a:ext>
          </a:extLst>
        </xdr:cNvPr>
        <xdr:cNvGrpSpPr/>
      </xdr:nvGrpSpPr>
      <xdr:grpSpPr>
        <a:xfrm>
          <a:off x="317500" y="6807200"/>
          <a:ext cx="5181600" cy="254741"/>
          <a:chOff x="283577" y="2044700"/>
          <a:chExt cx="5181600" cy="280141"/>
        </a:xfrm>
      </xdr:grpSpPr>
      <xdr:sp macro="" textlink="">
        <xdr:nvSpPr>
          <xdr:cNvPr id="31" name="Retângulo 30">
            <a:extLst>
              <a:ext uri="{FF2B5EF4-FFF2-40B4-BE49-F238E27FC236}">
                <a16:creationId xmlns:a16="http://schemas.microsoft.com/office/drawing/2014/main" id="{25074E15-2F43-6F5A-194D-CC610E8832F6}"/>
              </a:ext>
            </a:extLst>
          </xdr:cNvPr>
          <xdr:cNvSpPr/>
        </xdr:nvSpPr>
        <xdr:spPr>
          <a:xfrm>
            <a:off x="562978" y="2082800"/>
            <a:ext cx="4889500" cy="203200"/>
          </a:xfrm>
          <a:prstGeom prst="rect">
            <a:avLst/>
          </a:prstGeom>
          <a:solidFill>
            <a:srgbClr val="C00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32" name="Retângulo 31">
            <a:extLst>
              <a:ext uri="{FF2B5EF4-FFF2-40B4-BE49-F238E27FC236}">
                <a16:creationId xmlns:a16="http://schemas.microsoft.com/office/drawing/2014/main" id="{F163FCE9-731A-3C7E-FA4B-D9C3C79B49E4}"/>
              </a:ext>
            </a:extLst>
          </xdr:cNvPr>
          <xdr:cNvSpPr/>
        </xdr:nvSpPr>
        <xdr:spPr>
          <a:xfrm>
            <a:off x="283577" y="2044700"/>
            <a:ext cx="2349500" cy="280141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pt-BR" sz="1200" b="1" cap="none" spc="0">
                <a:ln w="0"/>
                <a:solidFill>
                  <a:schemeClr val="bg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5. Margem de Contribuição</a:t>
            </a:r>
          </a:p>
        </xdr:txBody>
      </xdr:sp>
      <xdr:pic>
        <xdr:nvPicPr>
          <xdr:cNvPr id="33" name="Imagem 32">
            <a:extLst>
              <a:ext uri="{FF2B5EF4-FFF2-40B4-BE49-F238E27FC236}">
                <a16:creationId xmlns:a16="http://schemas.microsoft.com/office/drawing/2014/main" id="{3D257D58-DA9D-9E05-E227-031CFFE4679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91100" y="2095500"/>
            <a:ext cx="474077" cy="177779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63500</xdr:colOff>
      <xdr:row>33</xdr:row>
      <xdr:rowOff>152400</xdr:rowOff>
    </xdr:from>
    <xdr:to>
      <xdr:col>1</xdr:col>
      <xdr:colOff>4902200</xdr:colOff>
      <xdr:row>35</xdr:row>
      <xdr:rowOff>51541</xdr:rowOff>
    </xdr:to>
    <xdr:grpSp>
      <xdr:nvGrpSpPr>
        <xdr:cNvPr id="34" name="Agrupar 33">
          <a:extLst>
            <a:ext uri="{FF2B5EF4-FFF2-40B4-BE49-F238E27FC236}">
              <a16:creationId xmlns:a16="http://schemas.microsoft.com/office/drawing/2014/main" id="{171E9C22-4C81-7849-ACDF-DE5AB297B329}"/>
            </a:ext>
          </a:extLst>
        </xdr:cNvPr>
        <xdr:cNvGrpSpPr/>
      </xdr:nvGrpSpPr>
      <xdr:grpSpPr>
        <a:xfrm>
          <a:off x="63500" y="7175500"/>
          <a:ext cx="5422900" cy="280141"/>
          <a:chOff x="42277" y="2044700"/>
          <a:chExt cx="5422900" cy="280141"/>
        </a:xfrm>
      </xdr:grpSpPr>
      <xdr:sp macro="" textlink="">
        <xdr:nvSpPr>
          <xdr:cNvPr id="35" name="Retângulo 34">
            <a:extLst>
              <a:ext uri="{FF2B5EF4-FFF2-40B4-BE49-F238E27FC236}">
                <a16:creationId xmlns:a16="http://schemas.microsoft.com/office/drawing/2014/main" id="{B05A8D26-5A4B-2A47-304D-8B039B5420EC}"/>
              </a:ext>
            </a:extLst>
          </xdr:cNvPr>
          <xdr:cNvSpPr/>
        </xdr:nvSpPr>
        <xdr:spPr>
          <a:xfrm>
            <a:off x="562978" y="2082800"/>
            <a:ext cx="4889500" cy="203200"/>
          </a:xfrm>
          <a:prstGeom prst="rect">
            <a:avLst/>
          </a:prstGeom>
          <a:solidFill>
            <a:srgbClr val="C00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36" name="Retângulo 35">
            <a:extLst>
              <a:ext uri="{FF2B5EF4-FFF2-40B4-BE49-F238E27FC236}">
                <a16:creationId xmlns:a16="http://schemas.microsoft.com/office/drawing/2014/main" id="{F1A2E21D-C4CD-C3A6-8CE2-2B6EDCBD7C1B}"/>
              </a:ext>
            </a:extLst>
          </xdr:cNvPr>
          <xdr:cNvSpPr/>
        </xdr:nvSpPr>
        <xdr:spPr>
          <a:xfrm>
            <a:off x="42277" y="2044700"/>
            <a:ext cx="2019300" cy="280141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pt-BR" sz="1200" b="1" cap="none" spc="0">
                <a:ln w="0"/>
                <a:solidFill>
                  <a:schemeClr val="bg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6. Custos Fixos</a:t>
            </a:r>
          </a:p>
        </xdr:txBody>
      </xdr:sp>
      <xdr:pic>
        <xdr:nvPicPr>
          <xdr:cNvPr id="37" name="Imagem 36">
            <a:extLst>
              <a:ext uri="{FF2B5EF4-FFF2-40B4-BE49-F238E27FC236}">
                <a16:creationId xmlns:a16="http://schemas.microsoft.com/office/drawing/2014/main" id="{A40EE805-2FF8-2F18-53EB-A8F826D1C77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91100" y="2095500"/>
            <a:ext cx="474077" cy="177779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279400</xdr:colOff>
      <xdr:row>46</xdr:row>
      <xdr:rowOff>139700</xdr:rowOff>
    </xdr:from>
    <xdr:to>
      <xdr:col>2</xdr:col>
      <xdr:colOff>0</xdr:colOff>
      <xdr:row>48</xdr:row>
      <xdr:rowOff>38841</xdr:rowOff>
    </xdr:to>
    <xdr:grpSp>
      <xdr:nvGrpSpPr>
        <xdr:cNvPr id="38" name="Agrupar 37">
          <a:extLst>
            <a:ext uri="{FF2B5EF4-FFF2-40B4-BE49-F238E27FC236}">
              <a16:creationId xmlns:a16="http://schemas.microsoft.com/office/drawing/2014/main" id="{9AEC90D3-71B0-A54A-8B22-A3F546F66528}"/>
            </a:ext>
          </a:extLst>
        </xdr:cNvPr>
        <xdr:cNvGrpSpPr/>
      </xdr:nvGrpSpPr>
      <xdr:grpSpPr>
        <a:xfrm>
          <a:off x="279400" y="9258300"/>
          <a:ext cx="5219700" cy="280141"/>
          <a:chOff x="245477" y="2044700"/>
          <a:chExt cx="5219700" cy="280141"/>
        </a:xfrm>
      </xdr:grpSpPr>
      <xdr:sp macro="" textlink="">
        <xdr:nvSpPr>
          <xdr:cNvPr id="39" name="Retângulo 38">
            <a:extLst>
              <a:ext uri="{FF2B5EF4-FFF2-40B4-BE49-F238E27FC236}">
                <a16:creationId xmlns:a16="http://schemas.microsoft.com/office/drawing/2014/main" id="{0FCE6AC3-0C05-F01D-FF2E-BEF6CC434AD7}"/>
              </a:ext>
            </a:extLst>
          </xdr:cNvPr>
          <xdr:cNvSpPr/>
        </xdr:nvSpPr>
        <xdr:spPr>
          <a:xfrm>
            <a:off x="562978" y="2082800"/>
            <a:ext cx="4889500" cy="203200"/>
          </a:xfrm>
          <a:prstGeom prst="rect">
            <a:avLst/>
          </a:prstGeom>
          <a:solidFill>
            <a:srgbClr val="C00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0" name="Retângulo 39">
            <a:extLst>
              <a:ext uri="{FF2B5EF4-FFF2-40B4-BE49-F238E27FC236}">
                <a16:creationId xmlns:a16="http://schemas.microsoft.com/office/drawing/2014/main" id="{39149F51-17D2-0E47-15E2-9B41D64732A1}"/>
              </a:ext>
            </a:extLst>
          </xdr:cNvPr>
          <xdr:cNvSpPr/>
        </xdr:nvSpPr>
        <xdr:spPr>
          <a:xfrm>
            <a:off x="245477" y="2044700"/>
            <a:ext cx="2019300" cy="280141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pt-BR" sz="1200" b="1" cap="none" spc="0">
                <a:ln w="0"/>
                <a:solidFill>
                  <a:schemeClr val="bg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7. Lucro Operacional</a:t>
            </a:r>
          </a:p>
        </xdr:txBody>
      </xdr:sp>
      <xdr:pic>
        <xdr:nvPicPr>
          <xdr:cNvPr id="41" name="Imagem 40">
            <a:extLst>
              <a:ext uri="{FF2B5EF4-FFF2-40B4-BE49-F238E27FC236}">
                <a16:creationId xmlns:a16="http://schemas.microsoft.com/office/drawing/2014/main" id="{3B5E5957-DEA1-83AB-1887-19431AF838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91100" y="2095500"/>
            <a:ext cx="474077" cy="177779"/>
          </a:xfrm>
          <a:prstGeom prst="rect">
            <a:avLst/>
          </a:prstGeom>
        </xdr:spPr>
      </xdr:pic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334</xdr:row>
      <xdr:rowOff>0</xdr:rowOff>
    </xdr:from>
    <xdr:to>
      <xdr:col>50</xdr:col>
      <xdr:colOff>63500</xdr:colOff>
      <xdr:row>336</xdr:row>
      <xdr:rowOff>38100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B7567EEC-3B86-E14C-AD29-D0A3D90A3890}"/>
            </a:ext>
          </a:extLst>
        </xdr:cNvPr>
        <xdr:cNvGrpSpPr/>
      </xdr:nvGrpSpPr>
      <xdr:grpSpPr>
        <a:xfrm>
          <a:off x="584200" y="64109600"/>
          <a:ext cx="51244500" cy="419100"/>
          <a:chOff x="0" y="75996800"/>
          <a:chExt cx="51346100" cy="419100"/>
        </a:xfrm>
      </xdr:grpSpPr>
      <xdr:sp macro="" textlink="">
        <xdr:nvSpPr>
          <xdr:cNvPr id="3" name="Retângulo 2">
            <a:extLst>
              <a:ext uri="{FF2B5EF4-FFF2-40B4-BE49-F238E27FC236}">
                <a16:creationId xmlns:a16="http://schemas.microsoft.com/office/drawing/2014/main" id="{1CC83B86-D7B6-3280-DF0E-89A3B6AC625E}"/>
              </a:ext>
            </a:extLst>
          </xdr:cNvPr>
          <xdr:cNvSpPr/>
        </xdr:nvSpPr>
        <xdr:spPr>
          <a:xfrm>
            <a:off x="0" y="75996800"/>
            <a:ext cx="51346100" cy="419100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5" name="image3.jpg">
            <a:extLst>
              <a:ext uri="{FF2B5EF4-FFF2-40B4-BE49-F238E27FC236}">
                <a16:creationId xmlns:a16="http://schemas.microsoft.com/office/drawing/2014/main" id="{E5AED855-2096-E22A-6BFB-67E09BF37AA7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0" y="75996800"/>
            <a:ext cx="965200" cy="419100"/>
          </a:xfrm>
          <a:prstGeom prst="rect">
            <a:avLst/>
          </a:prstGeom>
          <a:noFill/>
        </xdr:spPr>
      </xdr:pic>
    </xdr:grpSp>
    <xdr:clientData/>
  </xdr:twoCellAnchor>
  <xdr:twoCellAnchor>
    <xdr:from>
      <xdr:col>1</xdr:col>
      <xdr:colOff>0</xdr:colOff>
      <xdr:row>1</xdr:row>
      <xdr:rowOff>177800</xdr:rowOff>
    </xdr:from>
    <xdr:to>
      <xdr:col>4</xdr:col>
      <xdr:colOff>12700</xdr:colOff>
      <xdr:row>4</xdr:row>
      <xdr:rowOff>25400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E65F6401-CA5C-4749-9E11-C963B00CFB43}"/>
            </a:ext>
          </a:extLst>
        </xdr:cNvPr>
        <xdr:cNvGrpSpPr/>
      </xdr:nvGrpSpPr>
      <xdr:grpSpPr>
        <a:xfrm>
          <a:off x="584200" y="381000"/>
          <a:ext cx="6985000" cy="622300"/>
          <a:chOff x="8356600" y="4406900"/>
          <a:chExt cx="6985000" cy="622300"/>
        </a:xfrm>
      </xdr:grpSpPr>
      <xdr:sp macro="" textlink="">
        <xdr:nvSpPr>
          <xdr:cNvPr id="7" name="Retângulo 6">
            <a:extLst>
              <a:ext uri="{FF2B5EF4-FFF2-40B4-BE49-F238E27FC236}">
                <a16:creationId xmlns:a16="http://schemas.microsoft.com/office/drawing/2014/main" id="{01EA3952-DCDB-39D3-B450-88E28BF6FAD2}"/>
              </a:ext>
            </a:extLst>
          </xdr:cNvPr>
          <xdr:cNvSpPr/>
        </xdr:nvSpPr>
        <xdr:spPr>
          <a:xfrm>
            <a:off x="8356600" y="4406900"/>
            <a:ext cx="6985000" cy="622300"/>
          </a:xfrm>
          <a:prstGeom prst="rect">
            <a:avLst/>
          </a:prstGeom>
          <a:solidFill>
            <a:schemeClr val="accent6">
              <a:lumMod val="5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bg1"/>
              </a:solidFill>
            </a:endParaRPr>
          </a:p>
        </xdr:txBody>
      </xdr:sp>
      <xdr:pic>
        <xdr:nvPicPr>
          <xdr:cNvPr id="8" name="Imagem 7">
            <a:extLst>
              <a:ext uri="{FF2B5EF4-FFF2-40B4-BE49-F238E27FC236}">
                <a16:creationId xmlns:a16="http://schemas.microsoft.com/office/drawing/2014/main" id="{FA006C76-A3AF-B382-E42D-1D8B307FC15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356600" y="4406900"/>
            <a:ext cx="1061156" cy="596901"/>
          </a:xfrm>
          <a:prstGeom prst="rect">
            <a:avLst/>
          </a:prstGeom>
        </xdr:spPr>
      </xdr:pic>
      <xdr:sp macro="" textlink="">
        <xdr:nvSpPr>
          <xdr:cNvPr id="9" name="Retângulo 8">
            <a:extLst>
              <a:ext uri="{FF2B5EF4-FFF2-40B4-BE49-F238E27FC236}">
                <a16:creationId xmlns:a16="http://schemas.microsoft.com/office/drawing/2014/main" id="{5B3DFD50-53C4-3BB3-EC7A-681B9742B977}"/>
              </a:ext>
            </a:extLst>
          </xdr:cNvPr>
          <xdr:cNvSpPr/>
        </xdr:nvSpPr>
        <xdr:spPr>
          <a:xfrm>
            <a:off x="9474200" y="4528635"/>
            <a:ext cx="5702300" cy="342723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pt-BR" sz="1600" b="1" cap="none" spc="0">
                <a:ln w="0"/>
                <a:solidFill>
                  <a:schemeClr val="bg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DEMONSTRATIVO RESULTADOS DO EXERCICIO</a:t>
            </a:r>
          </a:p>
        </xdr:txBody>
      </xdr:sp>
    </xdr:grpSp>
    <xdr:clientData/>
  </xdr:twoCellAnchor>
  <xdr:twoCellAnchor>
    <xdr:from>
      <xdr:col>7</xdr:col>
      <xdr:colOff>952500</xdr:colOff>
      <xdr:row>13</xdr:row>
      <xdr:rowOff>101600</xdr:rowOff>
    </xdr:from>
    <xdr:to>
      <xdr:col>17</xdr:col>
      <xdr:colOff>0</xdr:colOff>
      <xdr:row>15</xdr:row>
      <xdr:rowOff>215900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B29E5725-D412-71C4-B022-43F0F7237633}"/>
            </a:ext>
          </a:extLst>
        </xdr:cNvPr>
        <xdr:cNvGrpSpPr/>
      </xdr:nvGrpSpPr>
      <xdr:grpSpPr>
        <a:xfrm>
          <a:off x="11023600" y="3060700"/>
          <a:ext cx="8890000" cy="520700"/>
          <a:chOff x="11036300" y="6235700"/>
          <a:chExt cx="7861300" cy="520700"/>
        </a:xfrm>
      </xdr:grpSpPr>
      <xdr:sp macro="" textlink="">
        <xdr:nvSpPr>
          <xdr:cNvPr id="13" name="Retângulo 12">
            <a:extLst>
              <a:ext uri="{FF2B5EF4-FFF2-40B4-BE49-F238E27FC236}">
                <a16:creationId xmlns:a16="http://schemas.microsoft.com/office/drawing/2014/main" id="{6FC4D249-1FC6-8340-836A-F6F50081CDAE}"/>
              </a:ext>
            </a:extLst>
          </xdr:cNvPr>
          <xdr:cNvSpPr/>
        </xdr:nvSpPr>
        <xdr:spPr>
          <a:xfrm>
            <a:off x="11036300" y="6235700"/>
            <a:ext cx="7861300" cy="520700"/>
          </a:xfrm>
          <a:prstGeom prst="rect">
            <a:avLst/>
          </a:prstGeom>
          <a:solidFill>
            <a:srgbClr val="00B05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14" name="Imagem 13">
            <a:extLst>
              <a:ext uri="{FF2B5EF4-FFF2-40B4-BE49-F238E27FC236}">
                <a16:creationId xmlns:a16="http://schemas.microsoft.com/office/drawing/2014/main" id="{1B4A39A5-6FA5-B249-8EFD-50E181C1516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049000" y="6248400"/>
            <a:ext cx="1061156" cy="507999"/>
          </a:xfrm>
          <a:prstGeom prst="rect">
            <a:avLst/>
          </a:prstGeom>
        </xdr:spPr>
      </xdr:pic>
      <xdr:sp macro="" textlink="">
        <xdr:nvSpPr>
          <xdr:cNvPr id="15" name="Retângulo 14">
            <a:extLst>
              <a:ext uri="{FF2B5EF4-FFF2-40B4-BE49-F238E27FC236}">
                <a16:creationId xmlns:a16="http://schemas.microsoft.com/office/drawing/2014/main" id="{65C1F92C-96AD-F04C-B735-0CB7B168E237}"/>
              </a:ext>
            </a:extLst>
          </xdr:cNvPr>
          <xdr:cNvSpPr/>
        </xdr:nvSpPr>
        <xdr:spPr>
          <a:xfrm>
            <a:off x="13762147" y="6319335"/>
            <a:ext cx="2879506" cy="342786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pt-BR" sz="1600" b="1" cap="none" spc="0">
                <a:ln w="0"/>
                <a:solidFill>
                  <a:schemeClr val="bg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CUSTEIO POR ABSORÇÃO IDEAL</a:t>
            </a:r>
          </a:p>
        </xdr:txBody>
      </xdr:sp>
    </xdr:grpSp>
    <xdr:clientData/>
  </xdr:twoCellAnchor>
  <xdr:twoCellAnchor>
    <xdr:from>
      <xdr:col>7</xdr:col>
      <xdr:colOff>939800</xdr:colOff>
      <xdr:row>3</xdr:row>
      <xdr:rowOff>495300</xdr:rowOff>
    </xdr:from>
    <xdr:to>
      <xdr:col>16</xdr:col>
      <xdr:colOff>952500</xdr:colOff>
      <xdr:row>5</xdr:row>
      <xdr:rowOff>228600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C0BBD4B0-FC0E-674D-8683-7B87DD72A29C}"/>
            </a:ext>
          </a:extLst>
        </xdr:cNvPr>
        <xdr:cNvGrpSpPr/>
      </xdr:nvGrpSpPr>
      <xdr:grpSpPr>
        <a:xfrm>
          <a:off x="11010900" y="889000"/>
          <a:ext cx="8890000" cy="520700"/>
          <a:chOff x="11099800" y="5029200"/>
          <a:chExt cx="7861300" cy="520700"/>
        </a:xfrm>
      </xdr:grpSpPr>
      <xdr:sp macro="" textlink="">
        <xdr:nvSpPr>
          <xdr:cNvPr id="19" name="Retângulo 18">
            <a:extLst>
              <a:ext uri="{FF2B5EF4-FFF2-40B4-BE49-F238E27FC236}">
                <a16:creationId xmlns:a16="http://schemas.microsoft.com/office/drawing/2014/main" id="{EF69C3E1-67F6-1A04-5AF3-91DA0A39F593}"/>
              </a:ext>
            </a:extLst>
          </xdr:cNvPr>
          <xdr:cNvSpPr/>
        </xdr:nvSpPr>
        <xdr:spPr>
          <a:xfrm>
            <a:off x="11099800" y="5029200"/>
            <a:ext cx="7861300" cy="520700"/>
          </a:xfrm>
          <a:prstGeom prst="rect">
            <a:avLst/>
          </a:prstGeom>
          <a:solidFill>
            <a:srgbClr val="00B05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20" name="Imagem 19">
            <a:extLst>
              <a:ext uri="{FF2B5EF4-FFF2-40B4-BE49-F238E27FC236}">
                <a16:creationId xmlns:a16="http://schemas.microsoft.com/office/drawing/2014/main" id="{8333B6AA-2A95-94CE-D403-399818EC0F2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112500" y="5041900"/>
            <a:ext cx="1061156" cy="507999"/>
          </a:xfrm>
          <a:prstGeom prst="rect">
            <a:avLst/>
          </a:prstGeom>
        </xdr:spPr>
      </xdr:pic>
      <xdr:sp macro="" textlink="">
        <xdr:nvSpPr>
          <xdr:cNvPr id="21" name="Retângulo 20">
            <a:extLst>
              <a:ext uri="{FF2B5EF4-FFF2-40B4-BE49-F238E27FC236}">
                <a16:creationId xmlns:a16="http://schemas.microsoft.com/office/drawing/2014/main" id="{E169390B-C7C6-000E-6F82-809F29EDF0B7}"/>
              </a:ext>
            </a:extLst>
          </xdr:cNvPr>
          <xdr:cNvSpPr/>
        </xdr:nvSpPr>
        <xdr:spPr>
          <a:xfrm>
            <a:off x="13648803" y="5112835"/>
            <a:ext cx="3233194" cy="342786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pt-BR" sz="1600" b="1" cap="none" spc="0">
                <a:ln w="0"/>
                <a:solidFill>
                  <a:schemeClr val="bg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CUSTEIO POR ABSORÇÃO INTEGRAL</a:t>
            </a:r>
          </a:p>
        </xdr:txBody>
      </xdr:sp>
    </xdr:grpSp>
    <xdr:clientData/>
  </xdr:twoCellAnchor>
  <xdr:twoCellAnchor>
    <xdr:from>
      <xdr:col>1</xdr:col>
      <xdr:colOff>4406900</xdr:colOff>
      <xdr:row>6</xdr:row>
      <xdr:rowOff>241300</xdr:rowOff>
    </xdr:from>
    <xdr:to>
      <xdr:col>2</xdr:col>
      <xdr:colOff>0</xdr:colOff>
      <xdr:row>7</xdr:row>
      <xdr:rowOff>215900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59521B3-1930-8845-9062-19082E07E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1663700"/>
          <a:ext cx="508000" cy="228600"/>
        </a:xfrm>
        <a:prstGeom prst="rect">
          <a:avLst/>
        </a:prstGeom>
      </xdr:spPr>
    </xdr:pic>
    <xdr:clientData/>
  </xdr:twoCellAnchor>
  <xdr:twoCellAnchor>
    <xdr:from>
      <xdr:col>0</xdr:col>
      <xdr:colOff>457200</xdr:colOff>
      <xdr:row>16</xdr:row>
      <xdr:rowOff>228600</xdr:rowOff>
    </xdr:from>
    <xdr:to>
      <xdr:col>1</xdr:col>
      <xdr:colOff>4902200</xdr:colOff>
      <xdr:row>18</xdr:row>
      <xdr:rowOff>26141</xdr:rowOff>
    </xdr:to>
    <xdr:grpSp>
      <xdr:nvGrpSpPr>
        <xdr:cNvPr id="29" name="Agrupar 28">
          <a:extLst>
            <a:ext uri="{FF2B5EF4-FFF2-40B4-BE49-F238E27FC236}">
              <a16:creationId xmlns:a16="http://schemas.microsoft.com/office/drawing/2014/main" id="{0653A93E-69D5-0A4A-A6C8-A2BD1A9C242A}"/>
            </a:ext>
          </a:extLst>
        </xdr:cNvPr>
        <xdr:cNvGrpSpPr/>
      </xdr:nvGrpSpPr>
      <xdr:grpSpPr>
        <a:xfrm>
          <a:off x="457200" y="3835400"/>
          <a:ext cx="5029200" cy="280141"/>
          <a:chOff x="435977" y="2044700"/>
          <a:chExt cx="5029200" cy="280141"/>
        </a:xfrm>
      </xdr:grpSpPr>
      <xdr:sp macro="" textlink="">
        <xdr:nvSpPr>
          <xdr:cNvPr id="30" name="Retângulo 29">
            <a:extLst>
              <a:ext uri="{FF2B5EF4-FFF2-40B4-BE49-F238E27FC236}">
                <a16:creationId xmlns:a16="http://schemas.microsoft.com/office/drawing/2014/main" id="{178C003B-E57F-4CAB-606E-E7A0D3844F21}"/>
              </a:ext>
            </a:extLst>
          </xdr:cNvPr>
          <xdr:cNvSpPr/>
        </xdr:nvSpPr>
        <xdr:spPr>
          <a:xfrm>
            <a:off x="562978" y="2082800"/>
            <a:ext cx="4889500" cy="203200"/>
          </a:xfrm>
          <a:prstGeom prst="rect">
            <a:avLst/>
          </a:prstGeom>
          <a:solidFill>
            <a:srgbClr val="C00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31" name="Retângulo 30">
            <a:extLst>
              <a:ext uri="{FF2B5EF4-FFF2-40B4-BE49-F238E27FC236}">
                <a16:creationId xmlns:a16="http://schemas.microsoft.com/office/drawing/2014/main" id="{6DED9838-7F44-D682-3ADB-729244CDF098}"/>
              </a:ext>
            </a:extLst>
          </xdr:cNvPr>
          <xdr:cNvSpPr/>
        </xdr:nvSpPr>
        <xdr:spPr>
          <a:xfrm>
            <a:off x="435977" y="2044700"/>
            <a:ext cx="2349500" cy="280141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pt-BR" sz="1200" b="1" cap="none" spc="0">
                <a:ln w="0"/>
                <a:solidFill>
                  <a:schemeClr val="bg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3. Custos Variáveis de Produção</a:t>
            </a:r>
          </a:p>
        </xdr:txBody>
      </xdr:sp>
      <xdr:pic>
        <xdr:nvPicPr>
          <xdr:cNvPr id="32" name="Imagem 31">
            <a:extLst>
              <a:ext uri="{FF2B5EF4-FFF2-40B4-BE49-F238E27FC236}">
                <a16:creationId xmlns:a16="http://schemas.microsoft.com/office/drawing/2014/main" id="{47440AF6-259B-A5FF-FA70-315F0141BEB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91100" y="2095500"/>
            <a:ext cx="474077" cy="177779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241300</xdr:colOff>
      <xdr:row>27</xdr:row>
      <xdr:rowOff>190500</xdr:rowOff>
    </xdr:from>
    <xdr:to>
      <xdr:col>2</xdr:col>
      <xdr:colOff>0</xdr:colOff>
      <xdr:row>29</xdr:row>
      <xdr:rowOff>38841</xdr:rowOff>
    </xdr:to>
    <xdr:grpSp>
      <xdr:nvGrpSpPr>
        <xdr:cNvPr id="33" name="Agrupar 32">
          <a:extLst>
            <a:ext uri="{FF2B5EF4-FFF2-40B4-BE49-F238E27FC236}">
              <a16:creationId xmlns:a16="http://schemas.microsoft.com/office/drawing/2014/main" id="{BE597E46-E18E-6C4E-9D3B-F8CF985F69DF}"/>
            </a:ext>
          </a:extLst>
        </xdr:cNvPr>
        <xdr:cNvGrpSpPr/>
      </xdr:nvGrpSpPr>
      <xdr:grpSpPr>
        <a:xfrm>
          <a:off x="241300" y="6121400"/>
          <a:ext cx="5257800" cy="280141"/>
          <a:chOff x="207377" y="2044700"/>
          <a:chExt cx="5257800" cy="280141"/>
        </a:xfrm>
      </xdr:grpSpPr>
      <xdr:sp macro="" textlink="">
        <xdr:nvSpPr>
          <xdr:cNvPr id="34" name="Retângulo 33">
            <a:extLst>
              <a:ext uri="{FF2B5EF4-FFF2-40B4-BE49-F238E27FC236}">
                <a16:creationId xmlns:a16="http://schemas.microsoft.com/office/drawing/2014/main" id="{0150F2EB-71C7-52F6-0D81-02FAA24611F8}"/>
              </a:ext>
            </a:extLst>
          </xdr:cNvPr>
          <xdr:cNvSpPr/>
        </xdr:nvSpPr>
        <xdr:spPr>
          <a:xfrm>
            <a:off x="562978" y="2082800"/>
            <a:ext cx="4889500" cy="203200"/>
          </a:xfrm>
          <a:prstGeom prst="rect">
            <a:avLst/>
          </a:prstGeom>
          <a:solidFill>
            <a:srgbClr val="C00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35" name="Retângulo 34">
            <a:extLst>
              <a:ext uri="{FF2B5EF4-FFF2-40B4-BE49-F238E27FC236}">
                <a16:creationId xmlns:a16="http://schemas.microsoft.com/office/drawing/2014/main" id="{24542D4F-6446-2D23-935E-BB2166942392}"/>
              </a:ext>
            </a:extLst>
          </xdr:cNvPr>
          <xdr:cNvSpPr/>
        </xdr:nvSpPr>
        <xdr:spPr>
          <a:xfrm>
            <a:off x="207377" y="2044700"/>
            <a:ext cx="2349500" cy="280141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pt-BR" sz="1200" b="1" cap="none" spc="0">
                <a:ln w="0"/>
                <a:solidFill>
                  <a:schemeClr val="bg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4. Custos Variáveis  Total</a:t>
            </a:r>
          </a:p>
        </xdr:txBody>
      </xdr:sp>
      <xdr:pic>
        <xdr:nvPicPr>
          <xdr:cNvPr id="36" name="Imagem 35">
            <a:extLst>
              <a:ext uri="{FF2B5EF4-FFF2-40B4-BE49-F238E27FC236}">
                <a16:creationId xmlns:a16="http://schemas.microsoft.com/office/drawing/2014/main" id="{B4EEAF47-8F3A-FA46-E6DF-448B4C8B71D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91100" y="2095500"/>
            <a:ext cx="474077" cy="177779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317500</xdr:colOff>
      <xdr:row>29</xdr:row>
      <xdr:rowOff>165100</xdr:rowOff>
    </xdr:from>
    <xdr:to>
      <xdr:col>2</xdr:col>
      <xdr:colOff>0</xdr:colOff>
      <xdr:row>31</xdr:row>
      <xdr:rowOff>38841</xdr:rowOff>
    </xdr:to>
    <xdr:grpSp>
      <xdr:nvGrpSpPr>
        <xdr:cNvPr id="37" name="Agrupar 36">
          <a:extLst>
            <a:ext uri="{FF2B5EF4-FFF2-40B4-BE49-F238E27FC236}">
              <a16:creationId xmlns:a16="http://schemas.microsoft.com/office/drawing/2014/main" id="{ADCA5F50-0EB6-5940-BCF8-56DC3D0CCCD8}"/>
            </a:ext>
          </a:extLst>
        </xdr:cNvPr>
        <xdr:cNvGrpSpPr/>
      </xdr:nvGrpSpPr>
      <xdr:grpSpPr>
        <a:xfrm>
          <a:off x="317500" y="6527800"/>
          <a:ext cx="5181600" cy="280141"/>
          <a:chOff x="283577" y="2044700"/>
          <a:chExt cx="5181600" cy="280141"/>
        </a:xfrm>
      </xdr:grpSpPr>
      <xdr:sp macro="" textlink="">
        <xdr:nvSpPr>
          <xdr:cNvPr id="38" name="Retângulo 37">
            <a:extLst>
              <a:ext uri="{FF2B5EF4-FFF2-40B4-BE49-F238E27FC236}">
                <a16:creationId xmlns:a16="http://schemas.microsoft.com/office/drawing/2014/main" id="{4DB58974-E537-011D-9724-FEE6563D48A2}"/>
              </a:ext>
            </a:extLst>
          </xdr:cNvPr>
          <xdr:cNvSpPr/>
        </xdr:nvSpPr>
        <xdr:spPr>
          <a:xfrm>
            <a:off x="562978" y="2082800"/>
            <a:ext cx="4889500" cy="203200"/>
          </a:xfrm>
          <a:prstGeom prst="rect">
            <a:avLst/>
          </a:prstGeom>
          <a:solidFill>
            <a:srgbClr val="C00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39" name="Retângulo 38">
            <a:extLst>
              <a:ext uri="{FF2B5EF4-FFF2-40B4-BE49-F238E27FC236}">
                <a16:creationId xmlns:a16="http://schemas.microsoft.com/office/drawing/2014/main" id="{FFECA28F-4A18-EF5F-701F-CBD699A6088E}"/>
              </a:ext>
            </a:extLst>
          </xdr:cNvPr>
          <xdr:cNvSpPr/>
        </xdr:nvSpPr>
        <xdr:spPr>
          <a:xfrm>
            <a:off x="283577" y="2044700"/>
            <a:ext cx="2349500" cy="280141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pt-BR" sz="1200" b="1" cap="none" spc="0">
                <a:ln w="0"/>
                <a:solidFill>
                  <a:schemeClr val="bg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5. Margem de Contribuição</a:t>
            </a:r>
          </a:p>
        </xdr:txBody>
      </xdr:sp>
      <xdr:pic>
        <xdr:nvPicPr>
          <xdr:cNvPr id="40" name="Imagem 39">
            <a:extLst>
              <a:ext uri="{FF2B5EF4-FFF2-40B4-BE49-F238E27FC236}">
                <a16:creationId xmlns:a16="http://schemas.microsoft.com/office/drawing/2014/main" id="{C3AC0971-9DDC-36E7-2A35-016ECDE864C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91100" y="2095500"/>
            <a:ext cx="474077" cy="177779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63500</xdr:colOff>
      <xdr:row>31</xdr:row>
      <xdr:rowOff>152400</xdr:rowOff>
    </xdr:from>
    <xdr:to>
      <xdr:col>1</xdr:col>
      <xdr:colOff>4902200</xdr:colOff>
      <xdr:row>33</xdr:row>
      <xdr:rowOff>51541</xdr:rowOff>
    </xdr:to>
    <xdr:grpSp>
      <xdr:nvGrpSpPr>
        <xdr:cNvPr id="41" name="Agrupar 40">
          <a:extLst>
            <a:ext uri="{FF2B5EF4-FFF2-40B4-BE49-F238E27FC236}">
              <a16:creationId xmlns:a16="http://schemas.microsoft.com/office/drawing/2014/main" id="{4EDD9FCA-9419-A34A-8A0F-467622CF8D4F}"/>
            </a:ext>
          </a:extLst>
        </xdr:cNvPr>
        <xdr:cNvGrpSpPr/>
      </xdr:nvGrpSpPr>
      <xdr:grpSpPr>
        <a:xfrm>
          <a:off x="63500" y="6921500"/>
          <a:ext cx="5422900" cy="280141"/>
          <a:chOff x="42277" y="2044700"/>
          <a:chExt cx="5422900" cy="280141"/>
        </a:xfrm>
      </xdr:grpSpPr>
      <xdr:sp macro="" textlink="">
        <xdr:nvSpPr>
          <xdr:cNvPr id="42" name="Retângulo 41">
            <a:extLst>
              <a:ext uri="{FF2B5EF4-FFF2-40B4-BE49-F238E27FC236}">
                <a16:creationId xmlns:a16="http://schemas.microsoft.com/office/drawing/2014/main" id="{EFADEAB8-0633-D040-A5D9-D29183142B34}"/>
              </a:ext>
            </a:extLst>
          </xdr:cNvPr>
          <xdr:cNvSpPr/>
        </xdr:nvSpPr>
        <xdr:spPr>
          <a:xfrm>
            <a:off x="562978" y="2082800"/>
            <a:ext cx="4889500" cy="203200"/>
          </a:xfrm>
          <a:prstGeom prst="rect">
            <a:avLst/>
          </a:prstGeom>
          <a:solidFill>
            <a:srgbClr val="C00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3" name="Retângulo 42">
            <a:extLst>
              <a:ext uri="{FF2B5EF4-FFF2-40B4-BE49-F238E27FC236}">
                <a16:creationId xmlns:a16="http://schemas.microsoft.com/office/drawing/2014/main" id="{D45CEB3F-2314-4151-DE80-E1CDC3F28ABD}"/>
              </a:ext>
            </a:extLst>
          </xdr:cNvPr>
          <xdr:cNvSpPr/>
        </xdr:nvSpPr>
        <xdr:spPr>
          <a:xfrm>
            <a:off x="42277" y="2044700"/>
            <a:ext cx="2019300" cy="280141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pt-BR" sz="1200" b="1" cap="none" spc="0">
                <a:ln w="0"/>
                <a:solidFill>
                  <a:schemeClr val="bg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6. Custos Fixos</a:t>
            </a:r>
          </a:p>
        </xdr:txBody>
      </xdr:sp>
      <xdr:pic>
        <xdr:nvPicPr>
          <xdr:cNvPr id="44" name="Imagem 43">
            <a:extLst>
              <a:ext uri="{FF2B5EF4-FFF2-40B4-BE49-F238E27FC236}">
                <a16:creationId xmlns:a16="http://schemas.microsoft.com/office/drawing/2014/main" id="{916937FE-3226-D18B-7D77-F11551D1CF7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91100" y="2095500"/>
            <a:ext cx="474077" cy="177779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279400</xdr:colOff>
      <xdr:row>44</xdr:row>
      <xdr:rowOff>139700</xdr:rowOff>
    </xdr:from>
    <xdr:to>
      <xdr:col>2</xdr:col>
      <xdr:colOff>0</xdr:colOff>
      <xdr:row>46</xdr:row>
      <xdr:rowOff>38841</xdr:rowOff>
    </xdr:to>
    <xdr:grpSp>
      <xdr:nvGrpSpPr>
        <xdr:cNvPr id="45" name="Agrupar 44">
          <a:extLst>
            <a:ext uri="{FF2B5EF4-FFF2-40B4-BE49-F238E27FC236}">
              <a16:creationId xmlns:a16="http://schemas.microsoft.com/office/drawing/2014/main" id="{DE96339B-B525-D74E-AA14-B9BBF7F96F50}"/>
            </a:ext>
          </a:extLst>
        </xdr:cNvPr>
        <xdr:cNvGrpSpPr/>
      </xdr:nvGrpSpPr>
      <xdr:grpSpPr>
        <a:xfrm>
          <a:off x="279400" y="9004300"/>
          <a:ext cx="5219700" cy="280141"/>
          <a:chOff x="245477" y="2044700"/>
          <a:chExt cx="5219700" cy="280141"/>
        </a:xfrm>
      </xdr:grpSpPr>
      <xdr:sp macro="" textlink="">
        <xdr:nvSpPr>
          <xdr:cNvPr id="46" name="Retângulo 45">
            <a:extLst>
              <a:ext uri="{FF2B5EF4-FFF2-40B4-BE49-F238E27FC236}">
                <a16:creationId xmlns:a16="http://schemas.microsoft.com/office/drawing/2014/main" id="{3A5CD9F4-BAEB-3E35-2525-088552E6D248}"/>
              </a:ext>
            </a:extLst>
          </xdr:cNvPr>
          <xdr:cNvSpPr/>
        </xdr:nvSpPr>
        <xdr:spPr>
          <a:xfrm>
            <a:off x="562978" y="2082800"/>
            <a:ext cx="4889500" cy="203200"/>
          </a:xfrm>
          <a:prstGeom prst="rect">
            <a:avLst/>
          </a:prstGeom>
          <a:solidFill>
            <a:srgbClr val="C00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7" name="Retângulo 46">
            <a:extLst>
              <a:ext uri="{FF2B5EF4-FFF2-40B4-BE49-F238E27FC236}">
                <a16:creationId xmlns:a16="http://schemas.microsoft.com/office/drawing/2014/main" id="{655FE588-2248-7B44-CA64-8F4AB8A8FDD9}"/>
              </a:ext>
            </a:extLst>
          </xdr:cNvPr>
          <xdr:cNvSpPr/>
        </xdr:nvSpPr>
        <xdr:spPr>
          <a:xfrm>
            <a:off x="245477" y="2044700"/>
            <a:ext cx="2019300" cy="280141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pt-BR" sz="1200" b="1" cap="none" spc="0">
                <a:ln w="0"/>
                <a:solidFill>
                  <a:schemeClr val="bg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7. Lucro Operacional</a:t>
            </a:r>
          </a:p>
        </xdr:txBody>
      </xdr:sp>
      <xdr:pic>
        <xdr:nvPicPr>
          <xdr:cNvPr id="48" name="Imagem 47">
            <a:extLst>
              <a:ext uri="{FF2B5EF4-FFF2-40B4-BE49-F238E27FC236}">
                <a16:creationId xmlns:a16="http://schemas.microsoft.com/office/drawing/2014/main" id="{C0F24258-3015-A7B1-BF59-52F57D4951F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91100" y="2095500"/>
            <a:ext cx="474077" cy="177779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4406900</xdr:colOff>
      <xdr:row>8</xdr:row>
      <xdr:rowOff>241300</xdr:rowOff>
    </xdr:from>
    <xdr:to>
      <xdr:col>2</xdr:col>
      <xdr:colOff>0</xdr:colOff>
      <xdr:row>9</xdr:row>
      <xdr:rowOff>215900</xdr:rowOff>
    </xdr:to>
    <xdr:pic>
      <xdr:nvPicPr>
        <xdr:cNvPr id="50" name="Imagem 49">
          <a:extLst>
            <a:ext uri="{FF2B5EF4-FFF2-40B4-BE49-F238E27FC236}">
              <a16:creationId xmlns:a16="http://schemas.microsoft.com/office/drawing/2014/main" id="{BC4B19A8-BBC8-534A-B5A0-E36907E84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1663700"/>
          <a:ext cx="508000" cy="2286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4</xdr:row>
      <xdr:rowOff>0</xdr:rowOff>
    </xdr:from>
    <xdr:to>
      <xdr:col>23</xdr:col>
      <xdr:colOff>914400</xdr:colOff>
      <xdr:row>6</xdr:row>
      <xdr:rowOff>203200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277840B5-A723-B60A-A394-95528A4C00E8}"/>
            </a:ext>
          </a:extLst>
        </xdr:cNvPr>
        <xdr:cNvGrpSpPr/>
      </xdr:nvGrpSpPr>
      <xdr:grpSpPr>
        <a:xfrm>
          <a:off x="10071100" y="977900"/>
          <a:ext cx="16560800" cy="647700"/>
          <a:chOff x="10401300" y="5283200"/>
          <a:chExt cx="16446500" cy="647700"/>
        </a:xfrm>
      </xdr:grpSpPr>
      <xdr:sp macro="" textlink="">
        <xdr:nvSpPr>
          <xdr:cNvPr id="8" name="Retângulo 7">
            <a:extLst>
              <a:ext uri="{FF2B5EF4-FFF2-40B4-BE49-F238E27FC236}">
                <a16:creationId xmlns:a16="http://schemas.microsoft.com/office/drawing/2014/main" id="{A06A1D5F-3210-2F5B-97B9-F2914042B6FC}"/>
              </a:ext>
            </a:extLst>
          </xdr:cNvPr>
          <xdr:cNvSpPr/>
        </xdr:nvSpPr>
        <xdr:spPr>
          <a:xfrm>
            <a:off x="10401300" y="5283200"/>
            <a:ext cx="16446500" cy="647700"/>
          </a:xfrm>
          <a:prstGeom prst="rect">
            <a:avLst/>
          </a:prstGeom>
          <a:solidFill>
            <a:schemeClr val="accent5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8B92D0AC-8CD7-5C4A-9C4B-9673A4D8FE2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401300" y="5283200"/>
            <a:ext cx="1198938" cy="647700"/>
          </a:xfrm>
          <a:prstGeom prst="rect">
            <a:avLst/>
          </a:prstGeom>
        </xdr:spPr>
      </xdr:pic>
      <xdr:sp macro="" textlink="">
        <xdr:nvSpPr>
          <xdr:cNvPr id="11" name="Retângulo 10">
            <a:extLst>
              <a:ext uri="{FF2B5EF4-FFF2-40B4-BE49-F238E27FC236}">
                <a16:creationId xmlns:a16="http://schemas.microsoft.com/office/drawing/2014/main" id="{0BA729CE-6D6B-747C-80E2-D20BEA3D65B5}"/>
              </a:ext>
            </a:extLst>
          </xdr:cNvPr>
          <xdr:cNvSpPr/>
        </xdr:nvSpPr>
        <xdr:spPr>
          <a:xfrm>
            <a:off x="16243630" y="5461000"/>
            <a:ext cx="4698877" cy="292100"/>
          </a:xfrm>
          <a:prstGeom prst="rect">
            <a:avLst/>
          </a:prstGeom>
          <a:noFill/>
        </xdr:spPr>
        <xdr:txBody>
          <a:bodyPr wrap="square" lIns="91440" tIns="45720" rIns="91440" bIns="45720">
            <a:noAutofit/>
          </a:bodyPr>
          <a:lstStyle/>
          <a:p>
            <a:pPr algn="ctr"/>
            <a:r>
              <a:rPr lang="pt-BR" sz="1800" b="0" cap="none" spc="0">
                <a:ln w="0"/>
                <a:solidFill>
                  <a:sysClr val="windowText" lastClr="000000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CUSTO PELA MARGEM DE CONTRIBUIÇÃO</a:t>
            </a:r>
          </a:p>
        </xdr:txBody>
      </xdr:sp>
    </xdr:grpSp>
    <xdr:clientData/>
  </xdr:twoCellAnchor>
  <xdr:twoCellAnchor>
    <xdr:from>
      <xdr:col>0</xdr:col>
      <xdr:colOff>0</xdr:colOff>
      <xdr:row>323</xdr:row>
      <xdr:rowOff>0</xdr:rowOff>
    </xdr:from>
    <xdr:to>
      <xdr:col>48</xdr:col>
      <xdr:colOff>635000</xdr:colOff>
      <xdr:row>325</xdr:row>
      <xdr:rowOff>38100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B21C8E7E-7AFB-584B-A64B-BCB1DC3DC9BB}"/>
            </a:ext>
          </a:extLst>
        </xdr:cNvPr>
        <xdr:cNvGrpSpPr/>
      </xdr:nvGrpSpPr>
      <xdr:grpSpPr>
        <a:xfrm>
          <a:off x="0" y="61887100"/>
          <a:ext cx="50482500" cy="419100"/>
          <a:chOff x="0" y="75996800"/>
          <a:chExt cx="51346100" cy="419100"/>
        </a:xfrm>
      </xdr:grpSpPr>
      <xdr:sp macro="" textlink="">
        <xdr:nvSpPr>
          <xdr:cNvPr id="14" name="Retângulo 13">
            <a:extLst>
              <a:ext uri="{FF2B5EF4-FFF2-40B4-BE49-F238E27FC236}">
                <a16:creationId xmlns:a16="http://schemas.microsoft.com/office/drawing/2014/main" id="{F12982F9-1A05-66BC-587E-EDB9C10D00F2}"/>
              </a:ext>
            </a:extLst>
          </xdr:cNvPr>
          <xdr:cNvSpPr/>
        </xdr:nvSpPr>
        <xdr:spPr>
          <a:xfrm>
            <a:off x="0" y="75996800"/>
            <a:ext cx="51346100" cy="419100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15" name="image3.jpg">
            <a:extLst>
              <a:ext uri="{FF2B5EF4-FFF2-40B4-BE49-F238E27FC236}">
                <a16:creationId xmlns:a16="http://schemas.microsoft.com/office/drawing/2014/main" id="{1227C07E-A567-AA00-436B-C7DE56C1382B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2" cstate="print"/>
          <a:stretch>
            <a:fillRect/>
          </a:stretch>
        </xdr:blipFill>
        <xdr:spPr>
          <a:xfrm>
            <a:off x="0" y="75996800"/>
            <a:ext cx="965200" cy="419100"/>
          </a:xfrm>
          <a:prstGeom prst="rect">
            <a:avLst/>
          </a:prstGeom>
          <a:noFill/>
        </xdr:spPr>
      </xdr:pic>
    </xdr:grpSp>
    <xdr:clientData/>
  </xdr:twoCellAnchor>
  <xdr:twoCellAnchor>
    <xdr:from>
      <xdr:col>1</xdr:col>
      <xdr:colOff>0</xdr:colOff>
      <xdr:row>3</xdr:row>
      <xdr:rowOff>177800</xdr:rowOff>
    </xdr:from>
    <xdr:to>
      <xdr:col>4</xdr:col>
      <xdr:colOff>12700</xdr:colOff>
      <xdr:row>5</xdr:row>
      <xdr:rowOff>152400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59EFEC20-7647-F040-B079-40F2D1110A67}"/>
            </a:ext>
          </a:extLst>
        </xdr:cNvPr>
        <xdr:cNvGrpSpPr/>
      </xdr:nvGrpSpPr>
      <xdr:grpSpPr>
        <a:xfrm>
          <a:off x="584200" y="571500"/>
          <a:ext cx="6985000" cy="774700"/>
          <a:chOff x="8356600" y="4406900"/>
          <a:chExt cx="6985000" cy="622300"/>
        </a:xfrm>
      </xdr:grpSpPr>
      <xdr:sp macro="" textlink="">
        <xdr:nvSpPr>
          <xdr:cNvPr id="5" name="Retângulo 4">
            <a:extLst>
              <a:ext uri="{FF2B5EF4-FFF2-40B4-BE49-F238E27FC236}">
                <a16:creationId xmlns:a16="http://schemas.microsoft.com/office/drawing/2014/main" id="{B8D4741B-4C22-A83A-D65F-6899AFE6905D}"/>
              </a:ext>
            </a:extLst>
          </xdr:cNvPr>
          <xdr:cNvSpPr/>
        </xdr:nvSpPr>
        <xdr:spPr>
          <a:xfrm>
            <a:off x="8356600" y="4406900"/>
            <a:ext cx="6985000" cy="622300"/>
          </a:xfrm>
          <a:prstGeom prst="rect">
            <a:avLst/>
          </a:prstGeom>
          <a:solidFill>
            <a:schemeClr val="accent6">
              <a:lumMod val="5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bg1"/>
              </a:solidFill>
            </a:endParaRPr>
          </a:p>
        </xdr:txBody>
      </xdr:sp>
      <xdr:pic>
        <xdr:nvPicPr>
          <xdr:cNvPr id="10" name="Imagem 9">
            <a:extLst>
              <a:ext uri="{FF2B5EF4-FFF2-40B4-BE49-F238E27FC236}">
                <a16:creationId xmlns:a16="http://schemas.microsoft.com/office/drawing/2014/main" id="{61DECF16-5B59-E48F-0643-7DB5DA0E226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432800" y="4468109"/>
            <a:ext cx="952500" cy="474573"/>
          </a:xfrm>
          <a:prstGeom prst="rect">
            <a:avLst/>
          </a:prstGeom>
        </xdr:spPr>
      </xdr:pic>
      <xdr:sp macro="" textlink="">
        <xdr:nvSpPr>
          <xdr:cNvPr id="16" name="Retângulo 15">
            <a:extLst>
              <a:ext uri="{FF2B5EF4-FFF2-40B4-BE49-F238E27FC236}">
                <a16:creationId xmlns:a16="http://schemas.microsoft.com/office/drawing/2014/main" id="{DCA55288-9E44-14B0-A47C-66BA4524FC50}"/>
              </a:ext>
            </a:extLst>
          </xdr:cNvPr>
          <xdr:cNvSpPr/>
        </xdr:nvSpPr>
        <xdr:spPr>
          <a:xfrm>
            <a:off x="9474200" y="4528635"/>
            <a:ext cx="5702300" cy="342723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pt-BR" sz="1600" b="1" cap="none" spc="0">
                <a:ln w="0"/>
                <a:solidFill>
                  <a:schemeClr val="bg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DEMONSTRATIVO RESULTADOS DO EXERCICIO</a:t>
            </a:r>
          </a:p>
        </xdr:txBody>
      </xdr:sp>
    </xdr:grpSp>
    <xdr:clientData/>
  </xdr:twoCellAnchor>
  <xdr:twoCellAnchor>
    <xdr:from>
      <xdr:col>1</xdr:col>
      <xdr:colOff>4406900</xdr:colOff>
      <xdr:row>8</xdr:row>
      <xdr:rowOff>241300</xdr:rowOff>
    </xdr:from>
    <xdr:to>
      <xdr:col>2</xdr:col>
      <xdr:colOff>0</xdr:colOff>
      <xdr:row>9</xdr:row>
      <xdr:rowOff>215900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24A9B245-48B2-6C4C-9C45-A8B17292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1663700"/>
          <a:ext cx="508000" cy="228600"/>
        </a:xfrm>
        <a:prstGeom prst="rect">
          <a:avLst/>
        </a:prstGeom>
      </xdr:spPr>
    </xdr:pic>
    <xdr:clientData/>
  </xdr:twoCellAnchor>
  <xdr:twoCellAnchor>
    <xdr:from>
      <xdr:col>0</xdr:col>
      <xdr:colOff>499477</xdr:colOff>
      <xdr:row>10</xdr:row>
      <xdr:rowOff>203200</xdr:rowOff>
    </xdr:from>
    <xdr:to>
      <xdr:col>2</xdr:col>
      <xdr:colOff>0</xdr:colOff>
      <xdr:row>12</xdr:row>
      <xdr:rowOff>51605</xdr:rowOff>
    </xdr:to>
    <xdr:grpSp>
      <xdr:nvGrpSpPr>
        <xdr:cNvPr id="42" name="Agrupar 41">
          <a:extLst>
            <a:ext uri="{FF2B5EF4-FFF2-40B4-BE49-F238E27FC236}">
              <a16:creationId xmlns:a16="http://schemas.microsoft.com/office/drawing/2014/main" id="{61498482-B4B5-BB68-5B8F-8D254C076269}"/>
            </a:ext>
          </a:extLst>
        </xdr:cNvPr>
        <xdr:cNvGrpSpPr/>
      </xdr:nvGrpSpPr>
      <xdr:grpSpPr>
        <a:xfrm>
          <a:off x="499477" y="2514600"/>
          <a:ext cx="4999623" cy="280205"/>
          <a:chOff x="499477" y="2514600"/>
          <a:chExt cx="4999623" cy="280205"/>
        </a:xfrm>
      </xdr:grpSpPr>
      <xdr:sp macro="" textlink="">
        <xdr:nvSpPr>
          <xdr:cNvPr id="19" name="Retângulo 18">
            <a:extLst>
              <a:ext uri="{FF2B5EF4-FFF2-40B4-BE49-F238E27FC236}">
                <a16:creationId xmlns:a16="http://schemas.microsoft.com/office/drawing/2014/main" id="{7D9471B1-1146-5173-1812-A65D9107476C}"/>
              </a:ext>
            </a:extLst>
          </xdr:cNvPr>
          <xdr:cNvSpPr/>
        </xdr:nvSpPr>
        <xdr:spPr>
          <a:xfrm>
            <a:off x="558800" y="2514600"/>
            <a:ext cx="4927600" cy="230939"/>
          </a:xfrm>
          <a:prstGeom prst="rect">
            <a:avLst/>
          </a:prstGeom>
          <a:solidFill>
            <a:srgbClr val="C00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0" name="Retângulo 19">
            <a:extLst>
              <a:ext uri="{FF2B5EF4-FFF2-40B4-BE49-F238E27FC236}">
                <a16:creationId xmlns:a16="http://schemas.microsoft.com/office/drawing/2014/main" id="{5A2BC609-912A-EEE1-185D-620CC82B2345}"/>
              </a:ext>
            </a:extLst>
          </xdr:cNvPr>
          <xdr:cNvSpPr/>
        </xdr:nvSpPr>
        <xdr:spPr>
          <a:xfrm>
            <a:off x="499477" y="2527300"/>
            <a:ext cx="2081660" cy="267505"/>
          </a:xfrm>
          <a:prstGeom prst="rect">
            <a:avLst/>
          </a:prstGeom>
          <a:noFill/>
        </xdr:spPr>
        <xdr:txBody>
          <a:bodyPr wrap="none" lIns="91440" tIns="45720" rIns="91440" bIns="45720">
            <a:noAutofit/>
          </a:bodyPr>
          <a:lstStyle/>
          <a:p>
            <a:pPr algn="ctr"/>
            <a:r>
              <a:rPr lang="pt-BR" sz="1200" b="1" cap="none" spc="0">
                <a:ln w="0"/>
                <a:solidFill>
                  <a:schemeClr val="bg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2. Custos Variáveis de Vendas</a:t>
            </a:r>
          </a:p>
        </xdr:txBody>
      </xdr:sp>
      <xdr:pic>
        <xdr:nvPicPr>
          <xdr:cNvPr id="21" name="Imagem 20">
            <a:extLst>
              <a:ext uri="{FF2B5EF4-FFF2-40B4-BE49-F238E27FC236}">
                <a16:creationId xmlns:a16="http://schemas.microsoft.com/office/drawing/2014/main" id="{6E1FDD9F-F163-C3F8-39D3-6B0DCBAC26C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016500" y="2563673"/>
            <a:ext cx="482600" cy="172772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457200</xdr:colOff>
      <xdr:row>19</xdr:row>
      <xdr:rowOff>0</xdr:rowOff>
    </xdr:from>
    <xdr:to>
      <xdr:col>1</xdr:col>
      <xdr:colOff>4902200</xdr:colOff>
      <xdr:row>20</xdr:row>
      <xdr:rowOff>26141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16A6B575-7391-4541-8BB8-3F58FFCB4543}"/>
            </a:ext>
          </a:extLst>
        </xdr:cNvPr>
        <xdr:cNvGrpSpPr/>
      </xdr:nvGrpSpPr>
      <xdr:grpSpPr>
        <a:xfrm>
          <a:off x="457200" y="4229100"/>
          <a:ext cx="5029200" cy="242041"/>
          <a:chOff x="435977" y="2044700"/>
          <a:chExt cx="5029200" cy="280141"/>
        </a:xfrm>
      </xdr:grpSpPr>
      <xdr:sp macro="" textlink="">
        <xdr:nvSpPr>
          <xdr:cNvPr id="23" name="Retângulo 22">
            <a:extLst>
              <a:ext uri="{FF2B5EF4-FFF2-40B4-BE49-F238E27FC236}">
                <a16:creationId xmlns:a16="http://schemas.microsoft.com/office/drawing/2014/main" id="{B86DC964-E246-E3F9-62B2-59CE2914B786}"/>
              </a:ext>
            </a:extLst>
          </xdr:cNvPr>
          <xdr:cNvSpPr/>
        </xdr:nvSpPr>
        <xdr:spPr>
          <a:xfrm>
            <a:off x="562978" y="2059399"/>
            <a:ext cx="4889500" cy="226600"/>
          </a:xfrm>
          <a:prstGeom prst="rect">
            <a:avLst/>
          </a:prstGeom>
          <a:solidFill>
            <a:srgbClr val="C00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4" name="Retângulo 23">
            <a:extLst>
              <a:ext uri="{FF2B5EF4-FFF2-40B4-BE49-F238E27FC236}">
                <a16:creationId xmlns:a16="http://schemas.microsoft.com/office/drawing/2014/main" id="{42D561E0-5724-D0B5-5503-60E8F71B624B}"/>
              </a:ext>
            </a:extLst>
          </xdr:cNvPr>
          <xdr:cNvSpPr/>
        </xdr:nvSpPr>
        <xdr:spPr>
          <a:xfrm>
            <a:off x="435977" y="2044700"/>
            <a:ext cx="2349500" cy="280141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pt-BR" sz="1200" b="1" cap="none" spc="0">
                <a:ln w="0"/>
                <a:solidFill>
                  <a:schemeClr val="bg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3. Custos Variáveis de Produção</a:t>
            </a:r>
          </a:p>
        </xdr:txBody>
      </xdr:sp>
      <xdr:pic>
        <xdr:nvPicPr>
          <xdr:cNvPr id="25" name="Imagem 24">
            <a:extLst>
              <a:ext uri="{FF2B5EF4-FFF2-40B4-BE49-F238E27FC236}">
                <a16:creationId xmlns:a16="http://schemas.microsoft.com/office/drawing/2014/main" id="{02167891-935A-DCD5-7AD8-C908ABFCFFC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91100" y="2095500"/>
            <a:ext cx="474077" cy="177779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241300</xdr:colOff>
      <xdr:row>29</xdr:row>
      <xdr:rowOff>177801</xdr:rowOff>
    </xdr:from>
    <xdr:to>
      <xdr:col>2</xdr:col>
      <xdr:colOff>0</xdr:colOff>
      <xdr:row>31</xdr:row>
      <xdr:rowOff>38842</xdr:rowOff>
    </xdr:to>
    <xdr:grpSp>
      <xdr:nvGrpSpPr>
        <xdr:cNvPr id="43" name="Agrupar 42">
          <a:extLst>
            <a:ext uri="{FF2B5EF4-FFF2-40B4-BE49-F238E27FC236}">
              <a16:creationId xmlns:a16="http://schemas.microsoft.com/office/drawing/2014/main" id="{525A7692-C631-B1E3-D2CD-55FE46CA3C9B}"/>
            </a:ext>
          </a:extLst>
        </xdr:cNvPr>
        <xdr:cNvGrpSpPr/>
      </xdr:nvGrpSpPr>
      <xdr:grpSpPr>
        <a:xfrm>
          <a:off x="241300" y="6438901"/>
          <a:ext cx="5257800" cy="242041"/>
          <a:chOff x="241300" y="6438901"/>
          <a:chExt cx="5257800" cy="242041"/>
        </a:xfrm>
      </xdr:grpSpPr>
      <xdr:sp macro="" textlink="">
        <xdr:nvSpPr>
          <xdr:cNvPr id="27" name="Retângulo 26">
            <a:extLst>
              <a:ext uri="{FF2B5EF4-FFF2-40B4-BE49-F238E27FC236}">
                <a16:creationId xmlns:a16="http://schemas.microsoft.com/office/drawing/2014/main" id="{0A212B3F-538B-A538-2309-9046EEC24FA4}"/>
              </a:ext>
            </a:extLst>
          </xdr:cNvPr>
          <xdr:cNvSpPr/>
        </xdr:nvSpPr>
        <xdr:spPr>
          <a:xfrm>
            <a:off x="596901" y="6438901"/>
            <a:ext cx="4889500" cy="210243"/>
          </a:xfrm>
          <a:prstGeom prst="rect">
            <a:avLst/>
          </a:prstGeom>
          <a:solidFill>
            <a:srgbClr val="C00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8" name="Retângulo 27">
            <a:extLst>
              <a:ext uri="{FF2B5EF4-FFF2-40B4-BE49-F238E27FC236}">
                <a16:creationId xmlns:a16="http://schemas.microsoft.com/office/drawing/2014/main" id="{CB39CD56-6116-26CE-C4FD-03307146CC79}"/>
              </a:ext>
            </a:extLst>
          </xdr:cNvPr>
          <xdr:cNvSpPr/>
        </xdr:nvSpPr>
        <xdr:spPr>
          <a:xfrm>
            <a:off x="241300" y="6451601"/>
            <a:ext cx="2349500" cy="229341"/>
          </a:xfrm>
          <a:prstGeom prst="rect">
            <a:avLst/>
          </a:prstGeom>
          <a:noFill/>
        </xdr:spPr>
        <xdr:txBody>
          <a:bodyPr wrap="square" lIns="91440" tIns="45720" rIns="91440" bIns="45720">
            <a:noAutofit/>
          </a:bodyPr>
          <a:lstStyle/>
          <a:p>
            <a:pPr algn="ctr"/>
            <a:r>
              <a:rPr lang="pt-BR" sz="1200" b="1" cap="none" spc="0">
                <a:ln w="0"/>
                <a:solidFill>
                  <a:schemeClr val="bg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4. Custos Variáveis  Total</a:t>
            </a:r>
          </a:p>
        </xdr:txBody>
      </xdr:sp>
      <xdr:pic>
        <xdr:nvPicPr>
          <xdr:cNvPr id="29" name="Imagem 28">
            <a:extLst>
              <a:ext uri="{FF2B5EF4-FFF2-40B4-BE49-F238E27FC236}">
                <a16:creationId xmlns:a16="http://schemas.microsoft.com/office/drawing/2014/main" id="{A1254F93-F2B6-B9FA-01D7-8EC6106BC6D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025023" y="6493189"/>
            <a:ext cx="474077" cy="145541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317500</xdr:colOff>
      <xdr:row>31</xdr:row>
      <xdr:rowOff>165100</xdr:rowOff>
    </xdr:from>
    <xdr:to>
      <xdr:col>2</xdr:col>
      <xdr:colOff>0</xdr:colOff>
      <xdr:row>33</xdr:row>
      <xdr:rowOff>38841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753058F1-3F09-6441-9F13-1C0C5054391A}"/>
            </a:ext>
          </a:extLst>
        </xdr:cNvPr>
        <xdr:cNvGrpSpPr/>
      </xdr:nvGrpSpPr>
      <xdr:grpSpPr>
        <a:xfrm>
          <a:off x="317500" y="6807200"/>
          <a:ext cx="5181600" cy="254741"/>
          <a:chOff x="283577" y="2044700"/>
          <a:chExt cx="5181600" cy="280141"/>
        </a:xfrm>
      </xdr:grpSpPr>
      <xdr:sp macro="" textlink="">
        <xdr:nvSpPr>
          <xdr:cNvPr id="31" name="Retângulo 30">
            <a:extLst>
              <a:ext uri="{FF2B5EF4-FFF2-40B4-BE49-F238E27FC236}">
                <a16:creationId xmlns:a16="http://schemas.microsoft.com/office/drawing/2014/main" id="{25074E15-2F43-6F5A-194D-CC610E8832F6}"/>
              </a:ext>
            </a:extLst>
          </xdr:cNvPr>
          <xdr:cNvSpPr/>
        </xdr:nvSpPr>
        <xdr:spPr>
          <a:xfrm>
            <a:off x="562978" y="2082800"/>
            <a:ext cx="4889500" cy="203200"/>
          </a:xfrm>
          <a:prstGeom prst="rect">
            <a:avLst/>
          </a:prstGeom>
          <a:solidFill>
            <a:srgbClr val="C00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32" name="Retângulo 31">
            <a:extLst>
              <a:ext uri="{FF2B5EF4-FFF2-40B4-BE49-F238E27FC236}">
                <a16:creationId xmlns:a16="http://schemas.microsoft.com/office/drawing/2014/main" id="{F163FCE9-731A-3C7E-FA4B-D9C3C79B49E4}"/>
              </a:ext>
            </a:extLst>
          </xdr:cNvPr>
          <xdr:cNvSpPr/>
        </xdr:nvSpPr>
        <xdr:spPr>
          <a:xfrm>
            <a:off x="283577" y="2044700"/>
            <a:ext cx="2349500" cy="280141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pt-BR" sz="1200" b="1" cap="none" spc="0">
                <a:ln w="0"/>
                <a:solidFill>
                  <a:schemeClr val="bg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5. Margem de Contribuição</a:t>
            </a:r>
          </a:p>
        </xdr:txBody>
      </xdr:sp>
      <xdr:pic>
        <xdr:nvPicPr>
          <xdr:cNvPr id="33" name="Imagem 32">
            <a:extLst>
              <a:ext uri="{FF2B5EF4-FFF2-40B4-BE49-F238E27FC236}">
                <a16:creationId xmlns:a16="http://schemas.microsoft.com/office/drawing/2014/main" id="{3D257D58-DA9D-9E05-E227-031CFFE4679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91100" y="2095500"/>
            <a:ext cx="474077" cy="177779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63500</xdr:colOff>
      <xdr:row>33</xdr:row>
      <xdr:rowOff>152400</xdr:rowOff>
    </xdr:from>
    <xdr:to>
      <xdr:col>1</xdr:col>
      <xdr:colOff>4902200</xdr:colOff>
      <xdr:row>35</xdr:row>
      <xdr:rowOff>51541</xdr:rowOff>
    </xdr:to>
    <xdr:grpSp>
      <xdr:nvGrpSpPr>
        <xdr:cNvPr id="34" name="Agrupar 33">
          <a:extLst>
            <a:ext uri="{FF2B5EF4-FFF2-40B4-BE49-F238E27FC236}">
              <a16:creationId xmlns:a16="http://schemas.microsoft.com/office/drawing/2014/main" id="{171E9C22-4C81-7849-ACDF-DE5AB297B329}"/>
            </a:ext>
          </a:extLst>
        </xdr:cNvPr>
        <xdr:cNvGrpSpPr/>
      </xdr:nvGrpSpPr>
      <xdr:grpSpPr>
        <a:xfrm>
          <a:off x="63500" y="7175500"/>
          <a:ext cx="5422900" cy="280141"/>
          <a:chOff x="42277" y="2044700"/>
          <a:chExt cx="5422900" cy="280141"/>
        </a:xfrm>
      </xdr:grpSpPr>
      <xdr:sp macro="" textlink="">
        <xdr:nvSpPr>
          <xdr:cNvPr id="35" name="Retângulo 34">
            <a:extLst>
              <a:ext uri="{FF2B5EF4-FFF2-40B4-BE49-F238E27FC236}">
                <a16:creationId xmlns:a16="http://schemas.microsoft.com/office/drawing/2014/main" id="{B05A8D26-5A4B-2A47-304D-8B039B5420EC}"/>
              </a:ext>
            </a:extLst>
          </xdr:cNvPr>
          <xdr:cNvSpPr/>
        </xdr:nvSpPr>
        <xdr:spPr>
          <a:xfrm>
            <a:off x="562978" y="2082800"/>
            <a:ext cx="4889500" cy="203200"/>
          </a:xfrm>
          <a:prstGeom prst="rect">
            <a:avLst/>
          </a:prstGeom>
          <a:solidFill>
            <a:srgbClr val="C00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36" name="Retângulo 35">
            <a:extLst>
              <a:ext uri="{FF2B5EF4-FFF2-40B4-BE49-F238E27FC236}">
                <a16:creationId xmlns:a16="http://schemas.microsoft.com/office/drawing/2014/main" id="{F1A2E21D-C4CD-C3A6-8CE2-2B6EDCBD7C1B}"/>
              </a:ext>
            </a:extLst>
          </xdr:cNvPr>
          <xdr:cNvSpPr/>
        </xdr:nvSpPr>
        <xdr:spPr>
          <a:xfrm>
            <a:off x="42277" y="2044700"/>
            <a:ext cx="2019300" cy="280141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pt-BR" sz="1200" b="1" cap="none" spc="0">
                <a:ln w="0"/>
                <a:solidFill>
                  <a:schemeClr val="bg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6. Custos Fixos</a:t>
            </a:r>
          </a:p>
        </xdr:txBody>
      </xdr:sp>
      <xdr:pic>
        <xdr:nvPicPr>
          <xdr:cNvPr id="37" name="Imagem 36">
            <a:extLst>
              <a:ext uri="{FF2B5EF4-FFF2-40B4-BE49-F238E27FC236}">
                <a16:creationId xmlns:a16="http://schemas.microsoft.com/office/drawing/2014/main" id="{A40EE805-2FF8-2F18-53EB-A8F826D1C77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91100" y="2095500"/>
            <a:ext cx="474077" cy="177779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279400</xdr:colOff>
      <xdr:row>46</xdr:row>
      <xdr:rowOff>139700</xdr:rowOff>
    </xdr:from>
    <xdr:to>
      <xdr:col>2</xdr:col>
      <xdr:colOff>0</xdr:colOff>
      <xdr:row>48</xdr:row>
      <xdr:rowOff>38841</xdr:rowOff>
    </xdr:to>
    <xdr:grpSp>
      <xdr:nvGrpSpPr>
        <xdr:cNvPr id="38" name="Agrupar 37">
          <a:extLst>
            <a:ext uri="{FF2B5EF4-FFF2-40B4-BE49-F238E27FC236}">
              <a16:creationId xmlns:a16="http://schemas.microsoft.com/office/drawing/2014/main" id="{9AEC90D3-71B0-A54A-8B22-A3F546F66528}"/>
            </a:ext>
          </a:extLst>
        </xdr:cNvPr>
        <xdr:cNvGrpSpPr/>
      </xdr:nvGrpSpPr>
      <xdr:grpSpPr>
        <a:xfrm>
          <a:off x="279400" y="9258300"/>
          <a:ext cx="5219700" cy="280141"/>
          <a:chOff x="245477" y="2044700"/>
          <a:chExt cx="5219700" cy="280141"/>
        </a:xfrm>
      </xdr:grpSpPr>
      <xdr:sp macro="" textlink="">
        <xdr:nvSpPr>
          <xdr:cNvPr id="39" name="Retângulo 38">
            <a:extLst>
              <a:ext uri="{FF2B5EF4-FFF2-40B4-BE49-F238E27FC236}">
                <a16:creationId xmlns:a16="http://schemas.microsoft.com/office/drawing/2014/main" id="{0FCE6AC3-0C05-F01D-FF2E-BEF6CC434AD7}"/>
              </a:ext>
            </a:extLst>
          </xdr:cNvPr>
          <xdr:cNvSpPr/>
        </xdr:nvSpPr>
        <xdr:spPr>
          <a:xfrm>
            <a:off x="562978" y="2082800"/>
            <a:ext cx="4889500" cy="203200"/>
          </a:xfrm>
          <a:prstGeom prst="rect">
            <a:avLst/>
          </a:prstGeom>
          <a:solidFill>
            <a:srgbClr val="C00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0" name="Retângulo 39">
            <a:extLst>
              <a:ext uri="{FF2B5EF4-FFF2-40B4-BE49-F238E27FC236}">
                <a16:creationId xmlns:a16="http://schemas.microsoft.com/office/drawing/2014/main" id="{39149F51-17D2-0E47-15E2-9B41D64732A1}"/>
              </a:ext>
            </a:extLst>
          </xdr:cNvPr>
          <xdr:cNvSpPr/>
        </xdr:nvSpPr>
        <xdr:spPr>
          <a:xfrm>
            <a:off x="245477" y="2044700"/>
            <a:ext cx="2019300" cy="280141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pt-BR" sz="1200" b="1" cap="none" spc="0">
                <a:ln w="0"/>
                <a:solidFill>
                  <a:schemeClr val="bg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7. Lucro Operacional</a:t>
            </a:r>
          </a:p>
        </xdr:txBody>
      </xdr:sp>
      <xdr:pic>
        <xdr:nvPicPr>
          <xdr:cNvPr id="41" name="Imagem 40">
            <a:extLst>
              <a:ext uri="{FF2B5EF4-FFF2-40B4-BE49-F238E27FC236}">
                <a16:creationId xmlns:a16="http://schemas.microsoft.com/office/drawing/2014/main" id="{3B5E5957-DEA1-83AB-1887-19431AF838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91100" y="2095500"/>
            <a:ext cx="474077" cy="177779"/>
          </a:xfrm>
          <a:prstGeom prst="rect">
            <a:avLst/>
          </a:prstGeom>
        </xdr:spPr>
      </xdr:pic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334</xdr:row>
      <xdr:rowOff>0</xdr:rowOff>
    </xdr:from>
    <xdr:to>
      <xdr:col>50</xdr:col>
      <xdr:colOff>63500</xdr:colOff>
      <xdr:row>336</xdr:row>
      <xdr:rowOff>38100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B7567EEC-3B86-E14C-AD29-D0A3D90A3890}"/>
            </a:ext>
          </a:extLst>
        </xdr:cNvPr>
        <xdr:cNvGrpSpPr/>
      </xdr:nvGrpSpPr>
      <xdr:grpSpPr>
        <a:xfrm>
          <a:off x="584200" y="64109600"/>
          <a:ext cx="51244500" cy="419100"/>
          <a:chOff x="0" y="75996800"/>
          <a:chExt cx="51346100" cy="419100"/>
        </a:xfrm>
      </xdr:grpSpPr>
      <xdr:sp macro="" textlink="">
        <xdr:nvSpPr>
          <xdr:cNvPr id="3" name="Retângulo 2">
            <a:extLst>
              <a:ext uri="{FF2B5EF4-FFF2-40B4-BE49-F238E27FC236}">
                <a16:creationId xmlns:a16="http://schemas.microsoft.com/office/drawing/2014/main" id="{1CC83B86-D7B6-3280-DF0E-89A3B6AC625E}"/>
              </a:ext>
            </a:extLst>
          </xdr:cNvPr>
          <xdr:cNvSpPr/>
        </xdr:nvSpPr>
        <xdr:spPr>
          <a:xfrm>
            <a:off x="0" y="75996800"/>
            <a:ext cx="51346100" cy="419100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5" name="image3.jpg">
            <a:extLst>
              <a:ext uri="{FF2B5EF4-FFF2-40B4-BE49-F238E27FC236}">
                <a16:creationId xmlns:a16="http://schemas.microsoft.com/office/drawing/2014/main" id="{E5AED855-2096-E22A-6BFB-67E09BF37AA7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0" y="75996800"/>
            <a:ext cx="965200" cy="419100"/>
          </a:xfrm>
          <a:prstGeom prst="rect">
            <a:avLst/>
          </a:prstGeom>
          <a:noFill/>
        </xdr:spPr>
      </xdr:pic>
    </xdr:grpSp>
    <xdr:clientData/>
  </xdr:twoCellAnchor>
  <xdr:twoCellAnchor>
    <xdr:from>
      <xdr:col>1</xdr:col>
      <xdr:colOff>0</xdr:colOff>
      <xdr:row>1</xdr:row>
      <xdr:rowOff>177800</xdr:rowOff>
    </xdr:from>
    <xdr:to>
      <xdr:col>4</xdr:col>
      <xdr:colOff>12700</xdr:colOff>
      <xdr:row>4</xdr:row>
      <xdr:rowOff>25400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E65F6401-CA5C-4749-9E11-C963B00CFB43}"/>
            </a:ext>
          </a:extLst>
        </xdr:cNvPr>
        <xdr:cNvGrpSpPr/>
      </xdr:nvGrpSpPr>
      <xdr:grpSpPr>
        <a:xfrm>
          <a:off x="584200" y="381000"/>
          <a:ext cx="6985000" cy="622300"/>
          <a:chOff x="8356600" y="4406900"/>
          <a:chExt cx="6985000" cy="622300"/>
        </a:xfrm>
      </xdr:grpSpPr>
      <xdr:sp macro="" textlink="">
        <xdr:nvSpPr>
          <xdr:cNvPr id="7" name="Retângulo 6">
            <a:extLst>
              <a:ext uri="{FF2B5EF4-FFF2-40B4-BE49-F238E27FC236}">
                <a16:creationId xmlns:a16="http://schemas.microsoft.com/office/drawing/2014/main" id="{01EA3952-DCDB-39D3-B450-88E28BF6FAD2}"/>
              </a:ext>
            </a:extLst>
          </xdr:cNvPr>
          <xdr:cNvSpPr/>
        </xdr:nvSpPr>
        <xdr:spPr>
          <a:xfrm>
            <a:off x="8356600" y="4406900"/>
            <a:ext cx="6985000" cy="622300"/>
          </a:xfrm>
          <a:prstGeom prst="rect">
            <a:avLst/>
          </a:prstGeom>
          <a:solidFill>
            <a:schemeClr val="accent6">
              <a:lumMod val="5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bg1"/>
              </a:solidFill>
            </a:endParaRPr>
          </a:p>
        </xdr:txBody>
      </xdr:sp>
      <xdr:pic>
        <xdr:nvPicPr>
          <xdr:cNvPr id="8" name="Imagem 7">
            <a:extLst>
              <a:ext uri="{FF2B5EF4-FFF2-40B4-BE49-F238E27FC236}">
                <a16:creationId xmlns:a16="http://schemas.microsoft.com/office/drawing/2014/main" id="{FA006C76-A3AF-B382-E42D-1D8B307FC15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356600" y="4406900"/>
            <a:ext cx="1061156" cy="596901"/>
          </a:xfrm>
          <a:prstGeom prst="rect">
            <a:avLst/>
          </a:prstGeom>
        </xdr:spPr>
      </xdr:pic>
      <xdr:sp macro="" textlink="">
        <xdr:nvSpPr>
          <xdr:cNvPr id="9" name="Retângulo 8">
            <a:extLst>
              <a:ext uri="{FF2B5EF4-FFF2-40B4-BE49-F238E27FC236}">
                <a16:creationId xmlns:a16="http://schemas.microsoft.com/office/drawing/2014/main" id="{5B3DFD50-53C4-3BB3-EC7A-681B9742B977}"/>
              </a:ext>
            </a:extLst>
          </xdr:cNvPr>
          <xdr:cNvSpPr/>
        </xdr:nvSpPr>
        <xdr:spPr>
          <a:xfrm>
            <a:off x="9474200" y="4528635"/>
            <a:ext cx="5702300" cy="342723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pt-BR" sz="1600" b="1" cap="none" spc="0">
                <a:ln w="0"/>
                <a:solidFill>
                  <a:schemeClr val="bg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DEMONSTRATIVO RESULTADOS DO EXERCICIO</a:t>
            </a:r>
          </a:p>
        </xdr:txBody>
      </xdr:sp>
    </xdr:grpSp>
    <xdr:clientData/>
  </xdr:twoCellAnchor>
  <xdr:twoCellAnchor>
    <xdr:from>
      <xdr:col>7</xdr:col>
      <xdr:colOff>952500</xdr:colOff>
      <xdr:row>13</xdr:row>
      <xdr:rowOff>101600</xdr:rowOff>
    </xdr:from>
    <xdr:to>
      <xdr:col>17</xdr:col>
      <xdr:colOff>0</xdr:colOff>
      <xdr:row>15</xdr:row>
      <xdr:rowOff>215900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B29E5725-D412-71C4-B022-43F0F7237633}"/>
            </a:ext>
          </a:extLst>
        </xdr:cNvPr>
        <xdr:cNvGrpSpPr/>
      </xdr:nvGrpSpPr>
      <xdr:grpSpPr>
        <a:xfrm>
          <a:off x="11023600" y="3060700"/>
          <a:ext cx="8890000" cy="520700"/>
          <a:chOff x="11036300" y="6235700"/>
          <a:chExt cx="7861300" cy="520700"/>
        </a:xfrm>
      </xdr:grpSpPr>
      <xdr:sp macro="" textlink="">
        <xdr:nvSpPr>
          <xdr:cNvPr id="13" name="Retângulo 12">
            <a:extLst>
              <a:ext uri="{FF2B5EF4-FFF2-40B4-BE49-F238E27FC236}">
                <a16:creationId xmlns:a16="http://schemas.microsoft.com/office/drawing/2014/main" id="{6FC4D249-1FC6-8340-836A-F6F50081CDAE}"/>
              </a:ext>
            </a:extLst>
          </xdr:cNvPr>
          <xdr:cNvSpPr/>
        </xdr:nvSpPr>
        <xdr:spPr>
          <a:xfrm>
            <a:off x="11036300" y="6235700"/>
            <a:ext cx="7861300" cy="520700"/>
          </a:xfrm>
          <a:prstGeom prst="rect">
            <a:avLst/>
          </a:prstGeom>
          <a:solidFill>
            <a:srgbClr val="00B05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14" name="Imagem 13">
            <a:extLst>
              <a:ext uri="{FF2B5EF4-FFF2-40B4-BE49-F238E27FC236}">
                <a16:creationId xmlns:a16="http://schemas.microsoft.com/office/drawing/2014/main" id="{1B4A39A5-6FA5-B249-8EFD-50E181C1516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049000" y="6248400"/>
            <a:ext cx="1061156" cy="507999"/>
          </a:xfrm>
          <a:prstGeom prst="rect">
            <a:avLst/>
          </a:prstGeom>
        </xdr:spPr>
      </xdr:pic>
      <xdr:sp macro="" textlink="">
        <xdr:nvSpPr>
          <xdr:cNvPr id="15" name="Retângulo 14">
            <a:extLst>
              <a:ext uri="{FF2B5EF4-FFF2-40B4-BE49-F238E27FC236}">
                <a16:creationId xmlns:a16="http://schemas.microsoft.com/office/drawing/2014/main" id="{65C1F92C-96AD-F04C-B735-0CB7B168E237}"/>
              </a:ext>
            </a:extLst>
          </xdr:cNvPr>
          <xdr:cNvSpPr/>
        </xdr:nvSpPr>
        <xdr:spPr>
          <a:xfrm>
            <a:off x="13762147" y="6319335"/>
            <a:ext cx="2879506" cy="342786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pt-BR" sz="1600" b="1" cap="none" spc="0">
                <a:ln w="0"/>
                <a:solidFill>
                  <a:schemeClr val="bg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CUSTEIO POR ABSORÇÃO IDEAL</a:t>
            </a:r>
          </a:p>
        </xdr:txBody>
      </xdr:sp>
    </xdr:grpSp>
    <xdr:clientData/>
  </xdr:twoCellAnchor>
  <xdr:twoCellAnchor>
    <xdr:from>
      <xdr:col>7</xdr:col>
      <xdr:colOff>939800</xdr:colOff>
      <xdr:row>3</xdr:row>
      <xdr:rowOff>495300</xdr:rowOff>
    </xdr:from>
    <xdr:to>
      <xdr:col>16</xdr:col>
      <xdr:colOff>952500</xdr:colOff>
      <xdr:row>5</xdr:row>
      <xdr:rowOff>228600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C0BBD4B0-FC0E-674D-8683-7B87DD72A29C}"/>
            </a:ext>
          </a:extLst>
        </xdr:cNvPr>
        <xdr:cNvGrpSpPr/>
      </xdr:nvGrpSpPr>
      <xdr:grpSpPr>
        <a:xfrm>
          <a:off x="11010900" y="889000"/>
          <a:ext cx="8890000" cy="520700"/>
          <a:chOff x="11099800" y="5029200"/>
          <a:chExt cx="7861300" cy="520700"/>
        </a:xfrm>
      </xdr:grpSpPr>
      <xdr:sp macro="" textlink="">
        <xdr:nvSpPr>
          <xdr:cNvPr id="19" name="Retângulo 18">
            <a:extLst>
              <a:ext uri="{FF2B5EF4-FFF2-40B4-BE49-F238E27FC236}">
                <a16:creationId xmlns:a16="http://schemas.microsoft.com/office/drawing/2014/main" id="{EF69C3E1-67F6-1A04-5AF3-91DA0A39F593}"/>
              </a:ext>
            </a:extLst>
          </xdr:cNvPr>
          <xdr:cNvSpPr/>
        </xdr:nvSpPr>
        <xdr:spPr>
          <a:xfrm>
            <a:off x="11099800" y="5029200"/>
            <a:ext cx="7861300" cy="520700"/>
          </a:xfrm>
          <a:prstGeom prst="rect">
            <a:avLst/>
          </a:prstGeom>
          <a:solidFill>
            <a:srgbClr val="00B05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20" name="Imagem 19">
            <a:extLst>
              <a:ext uri="{FF2B5EF4-FFF2-40B4-BE49-F238E27FC236}">
                <a16:creationId xmlns:a16="http://schemas.microsoft.com/office/drawing/2014/main" id="{8333B6AA-2A95-94CE-D403-399818EC0F2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112500" y="5041900"/>
            <a:ext cx="1061156" cy="507999"/>
          </a:xfrm>
          <a:prstGeom prst="rect">
            <a:avLst/>
          </a:prstGeom>
        </xdr:spPr>
      </xdr:pic>
      <xdr:sp macro="" textlink="">
        <xdr:nvSpPr>
          <xdr:cNvPr id="21" name="Retângulo 20">
            <a:extLst>
              <a:ext uri="{FF2B5EF4-FFF2-40B4-BE49-F238E27FC236}">
                <a16:creationId xmlns:a16="http://schemas.microsoft.com/office/drawing/2014/main" id="{E169390B-C7C6-000E-6F82-809F29EDF0B7}"/>
              </a:ext>
            </a:extLst>
          </xdr:cNvPr>
          <xdr:cNvSpPr/>
        </xdr:nvSpPr>
        <xdr:spPr>
          <a:xfrm>
            <a:off x="13648803" y="5112835"/>
            <a:ext cx="3233194" cy="342786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pt-BR" sz="1600" b="1" cap="none" spc="0">
                <a:ln w="0"/>
                <a:solidFill>
                  <a:schemeClr val="bg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CUSTEIO POR ABSORÇÃO INTEGRAL</a:t>
            </a:r>
          </a:p>
        </xdr:txBody>
      </xdr:sp>
    </xdr:grpSp>
    <xdr:clientData/>
  </xdr:twoCellAnchor>
  <xdr:twoCellAnchor>
    <xdr:from>
      <xdr:col>1</xdr:col>
      <xdr:colOff>4406900</xdr:colOff>
      <xdr:row>6</xdr:row>
      <xdr:rowOff>241300</xdr:rowOff>
    </xdr:from>
    <xdr:to>
      <xdr:col>2</xdr:col>
      <xdr:colOff>0</xdr:colOff>
      <xdr:row>7</xdr:row>
      <xdr:rowOff>215900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59521B3-1930-8845-9062-19082E07E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1663700"/>
          <a:ext cx="508000" cy="228600"/>
        </a:xfrm>
        <a:prstGeom prst="rect">
          <a:avLst/>
        </a:prstGeom>
      </xdr:spPr>
    </xdr:pic>
    <xdr:clientData/>
  </xdr:twoCellAnchor>
  <xdr:twoCellAnchor>
    <xdr:from>
      <xdr:col>0</xdr:col>
      <xdr:colOff>457200</xdr:colOff>
      <xdr:row>16</xdr:row>
      <xdr:rowOff>228600</xdr:rowOff>
    </xdr:from>
    <xdr:to>
      <xdr:col>1</xdr:col>
      <xdr:colOff>4902200</xdr:colOff>
      <xdr:row>18</xdr:row>
      <xdr:rowOff>26141</xdr:rowOff>
    </xdr:to>
    <xdr:grpSp>
      <xdr:nvGrpSpPr>
        <xdr:cNvPr id="29" name="Agrupar 28">
          <a:extLst>
            <a:ext uri="{FF2B5EF4-FFF2-40B4-BE49-F238E27FC236}">
              <a16:creationId xmlns:a16="http://schemas.microsoft.com/office/drawing/2014/main" id="{0653A93E-69D5-0A4A-A6C8-A2BD1A9C242A}"/>
            </a:ext>
          </a:extLst>
        </xdr:cNvPr>
        <xdr:cNvGrpSpPr/>
      </xdr:nvGrpSpPr>
      <xdr:grpSpPr>
        <a:xfrm>
          <a:off x="457200" y="3835400"/>
          <a:ext cx="5029200" cy="280141"/>
          <a:chOff x="435977" y="2044700"/>
          <a:chExt cx="5029200" cy="280141"/>
        </a:xfrm>
      </xdr:grpSpPr>
      <xdr:sp macro="" textlink="">
        <xdr:nvSpPr>
          <xdr:cNvPr id="30" name="Retângulo 29">
            <a:extLst>
              <a:ext uri="{FF2B5EF4-FFF2-40B4-BE49-F238E27FC236}">
                <a16:creationId xmlns:a16="http://schemas.microsoft.com/office/drawing/2014/main" id="{178C003B-E57F-4CAB-606E-E7A0D3844F21}"/>
              </a:ext>
            </a:extLst>
          </xdr:cNvPr>
          <xdr:cNvSpPr/>
        </xdr:nvSpPr>
        <xdr:spPr>
          <a:xfrm>
            <a:off x="562978" y="2082800"/>
            <a:ext cx="4889500" cy="203200"/>
          </a:xfrm>
          <a:prstGeom prst="rect">
            <a:avLst/>
          </a:prstGeom>
          <a:solidFill>
            <a:srgbClr val="C00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31" name="Retângulo 30">
            <a:extLst>
              <a:ext uri="{FF2B5EF4-FFF2-40B4-BE49-F238E27FC236}">
                <a16:creationId xmlns:a16="http://schemas.microsoft.com/office/drawing/2014/main" id="{6DED9838-7F44-D682-3ADB-729244CDF098}"/>
              </a:ext>
            </a:extLst>
          </xdr:cNvPr>
          <xdr:cNvSpPr/>
        </xdr:nvSpPr>
        <xdr:spPr>
          <a:xfrm>
            <a:off x="435977" y="2044700"/>
            <a:ext cx="2349500" cy="280141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pt-BR" sz="1200" b="1" cap="none" spc="0">
                <a:ln w="0"/>
                <a:solidFill>
                  <a:schemeClr val="bg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3. Custos Variáveis de Produção</a:t>
            </a:r>
          </a:p>
        </xdr:txBody>
      </xdr:sp>
      <xdr:pic>
        <xdr:nvPicPr>
          <xdr:cNvPr id="32" name="Imagem 31">
            <a:extLst>
              <a:ext uri="{FF2B5EF4-FFF2-40B4-BE49-F238E27FC236}">
                <a16:creationId xmlns:a16="http://schemas.microsoft.com/office/drawing/2014/main" id="{47440AF6-259B-A5FF-FA70-315F0141BEB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91100" y="2095500"/>
            <a:ext cx="474077" cy="177779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241300</xdr:colOff>
      <xdr:row>27</xdr:row>
      <xdr:rowOff>190500</xdr:rowOff>
    </xdr:from>
    <xdr:to>
      <xdr:col>2</xdr:col>
      <xdr:colOff>0</xdr:colOff>
      <xdr:row>29</xdr:row>
      <xdr:rowOff>38841</xdr:rowOff>
    </xdr:to>
    <xdr:grpSp>
      <xdr:nvGrpSpPr>
        <xdr:cNvPr id="33" name="Agrupar 32">
          <a:extLst>
            <a:ext uri="{FF2B5EF4-FFF2-40B4-BE49-F238E27FC236}">
              <a16:creationId xmlns:a16="http://schemas.microsoft.com/office/drawing/2014/main" id="{BE597E46-E18E-6C4E-9D3B-F8CF985F69DF}"/>
            </a:ext>
          </a:extLst>
        </xdr:cNvPr>
        <xdr:cNvGrpSpPr/>
      </xdr:nvGrpSpPr>
      <xdr:grpSpPr>
        <a:xfrm>
          <a:off x="241300" y="6121400"/>
          <a:ext cx="5257800" cy="280141"/>
          <a:chOff x="207377" y="2044700"/>
          <a:chExt cx="5257800" cy="280141"/>
        </a:xfrm>
      </xdr:grpSpPr>
      <xdr:sp macro="" textlink="">
        <xdr:nvSpPr>
          <xdr:cNvPr id="34" name="Retângulo 33">
            <a:extLst>
              <a:ext uri="{FF2B5EF4-FFF2-40B4-BE49-F238E27FC236}">
                <a16:creationId xmlns:a16="http://schemas.microsoft.com/office/drawing/2014/main" id="{0150F2EB-71C7-52F6-0D81-02FAA24611F8}"/>
              </a:ext>
            </a:extLst>
          </xdr:cNvPr>
          <xdr:cNvSpPr/>
        </xdr:nvSpPr>
        <xdr:spPr>
          <a:xfrm>
            <a:off x="562978" y="2082800"/>
            <a:ext cx="4889500" cy="203200"/>
          </a:xfrm>
          <a:prstGeom prst="rect">
            <a:avLst/>
          </a:prstGeom>
          <a:solidFill>
            <a:srgbClr val="C00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35" name="Retângulo 34">
            <a:extLst>
              <a:ext uri="{FF2B5EF4-FFF2-40B4-BE49-F238E27FC236}">
                <a16:creationId xmlns:a16="http://schemas.microsoft.com/office/drawing/2014/main" id="{24542D4F-6446-2D23-935E-BB2166942392}"/>
              </a:ext>
            </a:extLst>
          </xdr:cNvPr>
          <xdr:cNvSpPr/>
        </xdr:nvSpPr>
        <xdr:spPr>
          <a:xfrm>
            <a:off x="207377" y="2044700"/>
            <a:ext cx="2349500" cy="280141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pt-BR" sz="1200" b="1" cap="none" spc="0">
                <a:ln w="0"/>
                <a:solidFill>
                  <a:schemeClr val="bg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4. Custos Variáveis  Total</a:t>
            </a:r>
          </a:p>
        </xdr:txBody>
      </xdr:sp>
      <xdr:pic>
        <xdr:nvPicPr>
          <xdr:cNvPr id="36" name="Imagem 35">
            <a:extLst>
              <a:ext uri="{FF2B5EF4-FFF2-40B4-BE49-F238E27FC236}">
                <a16:creationId xmlns:a16="http://schemas.microsoft.com/office/drawing/2014/main" id="{B4EEAF47-8F3A-FA46-E6DF-448B4C8B71D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91100" y="2095500"/>
            <a:ext cx="474077" cy="177779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317500</xdr:colOff>
      <xdr:row>29</xdr:row>
      <xdr:rowOff>165100</xdr:rowOff>
    </xdr:from>
    <xdr:to>
      <xdr:col>2</xdr:col>
      <xdr:colOff>0</xdr:colOff>
      <xdr:row>31</xdr:row>
      <xdr:rowOff>38841</xdr:rowOff>
    </xdr:to>
    <xdr:grpSp>
      <xdr:nvGrpSpPr>
        <xdr:cNvPr id="37" name="Agrupar 36">
          <a:extLst>
            <a:ext uri="{FF2B5EF4-FFF2-40B4-BE49-F238E27FC236}">
              <a16:creationId xmlns:a16="http://schemas.microsoft.com/office/drawing/2014/main" id="{ADCA5F50-0EB6-5940-BCF8-56DC3D0CCCD8}"/>
            </a:ext>
          </a:extLst>
        </xdr:cNvPr>
        <xdr:cNvGrpSpPr/>
      </xdr:nvGrpSpPr>
      <xdr:grpSpPr>
        <a:xfrm>
          <a:off x="317500" y="6527800"/>
          <a:ext cx="5181600" cy="280141"/>
          <a:chOff x="283577" y="2044700"/>
          <a:chExt cx="5181600" cy="280141"/>
        </a:xfrm>
      </xdr:grpSpPr>
      <xdr:sp macro="" textlink="">
        <xdr:nvSpPr>
          <xdr:cNvPr id="38" name="Retângulo 37">
            <a:extLst>
              <a:ext uri="{FF2B5EF4-FFF2-40B4-BE49-F238E27FC236}">
                <a16:creationId xmlns:a16="http://schemas.microsoft.com/office/drawing/2014/main" id="{4DB58974-E537-011D-9724-FEE6563D48A2}"/>
              </a:ext>
            </a:extLst>
          </xdr:cNvPr>
          <xdr:cNvSpPr/>
        </xdr:nvSpPr>
        <xdr:spPr>
          <a:xfrm>
            <a:off x="562978" y="2082800"/>
            <a:ext cx="4889500" cy="203200"/>
          </a:xfrm>
          <a:prstGeom prst="rect">
            <a:avLst/>
          </a:prstGeom>
          <a:solidFill>
            <a:srgbClr val="C00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39" name="Retângulo 38">
            <a:extLst>
              <a:ext uri="{FF2B5EF4-FFF2-40B4-BE49-F238E27FC236}">
                <a16:creationId xmlns:a16="http://schemas.microsoft.com/office/drawing/2014/main" id="{FFECA28F-4A18-EF5F-701F-CBD699A6088E}"/>
              </a:ext>
            </a:extLst>
          </xdr:cNvPr>
          <xdr:cNvSpPr/>
        </xdr:nvSpPr>
        <xdr:spPr>
          <a:xfrm>
            <a:off x="283577" y="2044700"/>
            <a:ext cx="2349500" cy="280141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pt-BR" sz="1200" b="1" cap="none" spc="0">
                <a:ln w="0"/>
                <a:solidFill>
                  <a:schemeClr val="bg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5. Margem de Contribuição</a:t>
            </a:r>
          </a:p>
        </xdr:txBody>
      </xdr:sp>
      <xdr:pic>
        <xdr:nvPicPr>
          <xdr:cNvPr id="40" name="Imagem 39">
            <a:extLst>
              <a:ext uri="{FF2B5EF4-FFF2-40B4-BE49-F238E27FC236}">
                <a16:creationId xmlns:a16="http://schemas.microsoft.com/office/drawing/2014/main" id="{C3AC0971-9DDC-36E7-2A35-016ECDE864C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91100" y="2095500"/>
            <a:ext cx="474077" cy="177779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63500</xdr:colOff>
      <xdr:row>31</xdr:row>
      <xdr:rowOff>152400</xdr:rowOff>
    </xdr:from>
    <xdr:to>
      <xdr:col>1</xdr:col>
      <xdr:colOff>4902200</xdr:colOff>
      <xdr:row>33</xdr:row>
      <xdr:rowOff>51541</xdr:rowOff>
    </xdr:to>
    <xdr:grpSp>
      <xdr:nvGrpSpPr>
        <xdr:cNvPr id="41" name="Agrupar 40">
          <a:extLst>
            <a:ext uri="{FF2B5EF4-FFF2-40B4-BE49-F238E27FC236}">
              <a16:creationId xmlns:a16="http://schemas.microsoft.com/office/drawing/2014/main" id="{4EDD9FCA-9419-A34A-8A0F-467622CF8D4F}"/>
            </a:ext>
          </a:extLst>
        </xdr:cNvPr>
        <xdr:cNvGrpSpPr/>
      </xdr:nvGrpSpPr>
      <xdr:grpSpPr>
        <a:xfrm>
          <a:off x="63500" y="6921500"/>
          <a:ext cx="5422900" cy="280141"/>
          <a:chOff x="42277" y="2044700"/>
          <a:chExt cx="5422900" cy="280141"/>
        </a:xfrm>
      </xdr:grpSpPr>
      <xdr:sp macro="" textlink="">
        <xdr:nvSpPr>
          <xdr:cNvPr id="42" name="Retângulo 41">
            <a:extLst>
              <a:ext uri="{FF2B5EF4-FFF2-40B4-BE49-F238E27FC236}">
                <a16:creationId xmlns:a16="http://schemas.microsoft.com/office/drawing/2014/main" id="{EFADEAB8-0633-D040-A5D9-D29183142B34}"/>
              </a:ext>
            </a:extLst>
          </xdr:cNvPr>
          <xdr:cNvSpPr/>
        </xdr:nvSpPr>
        <xdr:spPr>
          <a:xfrm>
            <a:off x="562978" y="2082800"/>
            <a:ext cx="4889500" cy="203200"/>
          </a:xfrm>
          <a:prstGeom prst="rect">
            <a:avLst/>
          </a:prstGeom>
          <a:solidFill>
            <a:srgbClr val="C00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3" name="Retângulo 42">
            <a:extLst>
              <a:ext uri="{FF2B5EF4-FFF2-40B4-BE49-F238E27FC236}">
                <a16:creationId xmlns:a16="http://schemas.microsoft.com/office/drawing/2014/main" id="{D45CEB3F-2314-4151-DE80-E1CDC3F28ABD}"/>
              </a:ext>
            </a:extLst>
          </xdr:cNvPr>
          <xdr:cNvSpPr/>
        </xdr:nvSpPr>
        <xdr:spPr>
          <a:xfrm>
            <a:off x="42277" y="2044700"/>
            <a:ext cx="2019300" cy="280141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pt-BR" sz="1200" b="1" cap="none" spc="0">
                <a:ln w="0"/>
                <a:solidFill>
                  <a:schemeClr val="bg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6. Custos Fixos</a:t>
            </a:r>
          </a:p>
        </xdr:txBody>
      </xdr:sp>
      <xdr:pic>
        <xdr:nvPicPr>
          <xdr:cNvPr id="44" name="Imagem 43">
            <a:extLst>
              <a:ext uri="{FF2B5EF4-FFF2-40B4-BE49-F238E27FC236}">
                <a16:creationId xmlns:a16="http://schemas.microsoft.com/office/drawing/2014/main" id="{916937FE-3226-D18B-7D77-F11551D1CF7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91100" y="2095500"/>
            <a:ext cx="474077" cy="177779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279400</xdr:colOff>
      <xdr:row>44</xdr:row>
      <xdr:rowOff>139700</xdr:rowOff>
    </xdr:from>
    <xdr:to>
      <xdr:col>2</xdr:col>
      <xdr:colOff>0</xdr:colOff>
      <xdr:row>46</xdr:row>
      <xdr:rowOff>38841</xdr:rowOff>
    </xdr:to>
    <xdr:grpSp>
      <xdr:nvGrpSpPr>
        <xdr:cNvPr id="45" name="Agrupar 44">
          <a:extLst>
            <a:ext uri="{FF2B5EF4-FFF2-40B4-BE49-F238E27FC236}">
              <a16:creationId xmlns:a16="http://schemas.microsoft.com/office/drawing/2014/main" id="{DE96339B-B525-D74E-AA14-B9BBF7F96F50}"/>
            </a:ext>
          </a:extLst>
        </xdr:cNvPr>
        <xdr:cNvGrpSpPr/>
      </xdr:nvGrpSpPr>
      <xdr:grpSpPr>
        <a:xfrm>
          <a:off x="279400" y="9004300"/>
          <a:ext cx="5219700" cy="280141"/>
          <a:chOff x="245477" y="2044700"/>
          <a:chExt cx="5219700" cy="280141"/>
        </a:xfrm>
      </xdr:grpSpPr>
      <xdr:sp macro="" textlink="">
        <xdr:nvSpPr>
          <xdr:cNvPr id="46" name="Retângulo 45">
            <a:extLst>
              <a:ext uri="{FF2B5EF4-FFF2-40B4-BE49-F238E27FC236}">
                <a16:creationId xmlns:a16="http://schemas.microsoft.com/office/drawing/2014/main" id="{3A5CD9F4-BAEB-3E35-2525-088552E6D248}"/>
              </a:ext>
            </a:extLst>
          </xdr:cNvPr>
          <xdr:cNvSpPr/>
        </xdr:nvSpPr>
        <xdr:spPr>
          <a:xfrm>
            <a:off x="562978" y="2082800"/>
            <a:ext cx="4889500" cy="203200"/>
          </a:xfrm>
          <a:prstGeom prst="rect">
            <a:avLst/>
          </a:prstGeom>
          <a:solidFill>
            <a:srgbClr val="C00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7" name="Retângulo 46">
            <a:extLst>
              <a:ext uri="{FF2B5EF4-FFF2-40B4-BE49-F238E27FC236}">
                <a16:creationId xmlns:a16="http://schemas.microsoft.com/office/drawing/2014/main" id="{655FE588-2248-7B44-CA64-8F4AB8A8FDD9}"/>
              </a:ext>
            </a:extLst>
          </xdr:cNvPr>
          <xdr:cNvSpPr/>
        </xdr:nvSpPr>
        <xdr:spPr>
          <a:xfrm>
            <a:off x="245477" y="2044700"/>
            <a:ext cx="2019300" cy="280141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pt-BR" sz="1200" b="1" cap="none" spc="0">
                <a:ln w="0"/>
                <a:solidFill>
                  <a:schemeClr val="bg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7. Lucro Operacional</a:t>
            </a:r>
          </a:p>
        </xdr:txBody>
      </xdr:sp>
      <xdr:pic>
        <xdr:nvPicPr>
          <xdr:cNvPr id="48" name="Imagem 47">
            <a:extLst>
              <a:ext uri="{FF2B5EF4-FFF2-40B4-BE49-F238E27FC236}">
                <a16:creationId xmlns:a16="http://schemas.microsoft.com/office/drawing/2014/main" id="{C0F24258-3015-A7B1-BF59-52F57D4951F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91100" y="2095500"/>
            <a:ext cx="474077" cy="177779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4406900</xdr:colOff>
      <xdr:row>8</xdr:row>
      <xdr:rowOff>241300</xdr:rowOff>
    </xdr:from>
    <xdr:to>
      <xdr:col>2</xdr:col>
      <xdr:colOff>0</xdr:colOff>
      <xdr:row>9</xdr:row>
      <xdr:rowOff>215900</xdr:rowOff>
    </xdr:to>
    <xdr:pic>
      <xdr:nvPicPr>
        <xdr:cNvPr id="50" name="Imagem 49">
          <a:extLst>
            <a:ext uri="{FF2B5EF4-FFF2-40B4-BE49-F238E27FC236}">
              <a16:creationId xmlns:a16="http://schemas.microsoft.com/office/drawing/2014/main" id="{BC4B19A8-BBC8-534A-B5A0-E36907E84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1663700"/>
          <a:ext cx="508000" cy="2286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4</xdr:row>
      <xdr:rowOff>0</xdr:rowOff>
    </xdr:from>
    <xdr:to>
      <xdr:col>23</xdr:col>
      <xdr:colOff>914400</xdr:colOff>
      <xdr:row>6</xdr:row>
      <xdr:rowOff>203200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277840B5-A723-B60A-A394-95528A4C00E8}"/>
            </a:ext>
          </a:extLst>
        </xdr:cNvPr>
        <xdr:cNvGrpSpPr/>
      </xdr:nvGrpSpPr>
      <xdr:grpSpPr>
        <a:xfrm>
          <a:off x="10071100" y="977900"/>
          <a:ext cx="16560800" cy="647700"/>
          <a:chOff x="10401300" y="5283200"/>
          <a:chExt cx="16446500" cy="647700"/>
        </a:xfrm>
      </xdr:grpSpPr>
      <xdr:sp macro="" textlink="">
        <xdr:nvSpPr>
          <xdr:cNvPr id="8" name="Retângulo 7">
            <a:extLst>
              <a:ext uri="{FF2B5EF4-FFF2-40B4-BE49-F238E27FC236}">
                <a16:creationId xmlns:a16="http://schemas.microsoft.com/office/drawing/2014/main" id="{A06A1D5F-3210-2F5B-97B9-F2914042B6FC}"/>
              </a:ext>
            </a:extLst>
          </xdr:cNvPr>
          <xdr:cNvSpPr/>
        </xdr:nvSpPr>
        <xdr:spPr>
          <a:xfrm>
            <a:off x="10401300" y="5283200"/>
            <a:ext cx="16446500" cy="647700"/>
          </a:xfrm>
          <a:prstGeom prst="rect">
            <a:avLst/>
          </a:prstGeom>
          <a:solidFill>
            <a:schemeClr val="accent5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8B92D0AC-8CD7-5C4A-9C4B-9673A4D8FE2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401300" y="5283200"/>
            <a:ext cx="1198938" cy="647700"/>
          </a:xfrm>
          <a:prstGeom prst="rect">
            <a:avLst/>
          </a:prstGeom>
        </xdr:spPr>
      </xdr:pic>
      <xdr:sp macro="" textlink="">
        <xdr:nvSpPr>
          <xdr:cNvPr id="11" name="Retângulo 10">
            <a:extLst>
              <a:ext uri="{FF2B5EF4-FFF2-40B4-BE49-F238E27FC236}">
                <a16:creationId xmlns:a16="http://schemas.microsoft.com/office/drawing/2014/main" id="{0BA729CE-6D6B-747C-80E2-D20BEA3D65B5}"/>
              </a:ext>
            </a:extLst>
          </xdr:cNvPr>
          <xdr:cNvSpPr/>
        </xdr:nvSpPr>
        <xdr:spPr>
          <a:xfrm>
            <a:off x="16243630" y="5461000"/>
            <a:ext cx="4698877" cy="292100"/>
          </a:xfrm>
          <a:prstGeom prst="rect">
            <a:avLst/>
          </a:prstGeom>
          <a:noFill/>
        </xdr:spPr>
        <xdr:txBody>
          <a:bodyPr wrap="square" lIns="91440" tIns="45720" rIns="91440" bIns="45720">
            <a:noAutofit/>
          </a:bodyPr>
          <a:lstStyle/>
          <a:p>
            <a:pPr algn="ctr"/>
            <a:r>
              <a:rPr lang="pt-BR" sz="1800" b="0" cap="none" spc="0">
                <a:ln w="0"/>
                <a:solidFill>
                  <a:sysClr val="windowText" lastClr="000000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CUSTO PELA MARGEM DE CONTRIBUIÇÃO</a:t>
            </a:r>
          </a:p>
        </xdr:txBody>
      </xdr:sp>
    </xdr:grpSp>
    <xdr:clientData/>
  </xdr:twoCellAnchor>
  <xdr:twoCellAnchor>
    <xdr:from>
      <xdr:col>0</xdr:col>
      <xdr:colOff>0</xdr:colOff>
      <xdr:row>323</xdr:row>
      <xdr:rowOff>0</xdr:rowOff>
    </xdr:from>
    <xdr:to>
      <xdr:col>48</xdr:col>
      <xdr:colOff>635000</xdr:colOff>
      <xdr:row>325</xdr:row>
      <xdr:rowOff>38100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B21C8E7E-7AFB-584B-A64B-BCB1DC3DC9BB}"/>
            </a:ext>
          </a:extLst>
        </xdr:cNvPr>
        <xdr:cNvGrpSpPr/>
      </xdr:nvGrpSpPr>
      <xdr:grpSpPr>
        <a:xfrm>
          <a:off x="0" y="61887100"/>
          <a:ext cx="50482500" cy="419100"/>
          <a:chOff x="0" y="75996800"/>
          <a:chExt cx="51346100" cy="419100"/>
        </a:xfrm>
      </xdr:grpSpPr>
      <xdr:sp macro="" textlink="">
        <xdr:nvSpPr>
          <xdr:cNvPr id="14" name="Retângulo 13">
            <a:extLst>
              <a:ext uri="{FF2B5EF4-FFF2-40B4-BE49-F238E27FC236}">
                <a16:creationId xmlns:a16="http://schemas.microsoft.com/office/drawing/2014/main" id="{F12982F9-1A05-66BC-587E-EDB9C10D00F2}"/>
              </a:ext>
            </a:extLst>
          </xdr:cNvPr>
          <xdr:cNvSpPr/>
        </xdr:nvSpPr>
        <xdr:spPr>
          <a:xfrm>
            <a:off x="0" y="75996800"/>
            <a:ext cx="51346100" cy="419100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15" name="image3.jpg">
            <a:extLst>
              <a:ext uri="{FF2B5EF4-FFF2-40B4-BE49-F238E27FC236}">
                <a16:creationId xmlns:a16="http://schemas.microsoft.com/office/drawing/2014/main" id="{1227C07E-A567-AA00-436B-C7DE56C1382B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2" cstate="print"/>
          <a:stretch>
            <a:fillRect/>
          </a:stretch>
        </xdr:blipFill>
        <xdr:spPr>
          <a:xfrm>
            <a:off x="0" y="75996800"/>
            <a:ext cx="965200" cy="419100"/>
          </a:xfrm>
          <a:prstGeom prst="rect">
            <a:avLst/>
          </a:prstGeom>
          <a:noFill/>
        </xdr:spPr>
      </xdr:pic>
    </xdr:grpSp>
    <xdr:clientData/>
  </xdr:twoCellAnchor>
  <xdr:twoCellAnchor>
    <xdr:from>
      <xdr:col>1</xdr:col>
      <xdr:colOff>0</xdr:colOff>
      <xdr:row>3</xdr:row>
      <xdr:rowOff>177800</xdr:rowOff>
    </xdr:from>
    <xdr:to>
      <xdr:col>4</xdr:col>
      <xdr:colOff>12700</xdr:colOff>
      <xdr:row>5</xdr:row>
      <xdr:rowOff>152400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59EFEC20-7647-F040-B079-40F2D1110A67}"/>
            </a:ext>
          </a:extLst>
        </xdr:cNvPr>
        <xdr:cNvGrpSpPr/>
      </xdr:nvGrpSpPr>
      <xdr:grpSpPr>
        <a:xfrm>
          <a:off x="584200" y="571500"/>
          <a:ext cx="6985000" cy="774700"/>
          <a:chOff x="8356600" y="4406900"/>
          <a:chExt cx="6985000" cy="622300"/>
        </a:xfrm>
      </xdr:grpSpPr>
      <xdr:sp macro="" textlink="">
        <xdr:nvSpPr>
          <xdr:cNvPr id="5" name="Retângulo 4">
            <a:extLst>
              <a:ext uri="{FF2B5EF4-FFF2-40B4-BE49-F238E27FC236}">
                <a16:creationId xmlns:a16="http://schemas.microsoft.com/office/drawing/2014/main" id="{B8D4741B-4C22-A83A-D65F-6899AFE6905D}"/>
              </a:ext>
            </a:extLst>
          </xdr:cNvPr>
          <xdr:cNvSpPr/>
        </xdr:nvSpPr>
        <xdr:spPr>
          <a:xfrm>
            <a:off x="8356600" y="4406900"/>
            <a:ext cx="6985000" cy="622300"/>
          </a:xfrm>
          <a:prstGeom prst="rect">
            <a:avLst/>
          </a:prstGeom>
          <a:solidFill>
            <a:schemeClr val="accent6">
              <a:lumMod val="5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bg1"/>
              </a:solidFill>
            </a:endParaRPr>
          </a:p>
        </xdr:txBody>
      </xdr:sp>
      <xdr:pic>
        <xdr:nvPicPr>
          <xdr:cNvPr id="10" name="Imagem 9">
            <a:extLst>
              <a:ext uri="{FF2B5EF4-FFF2-40B4-BE49-F238E27FC236}">
                <a16:creationId xmlns:a16="http://schemas.microsoft.com/office/drawing/2014/main" id="{61DECF16-5B59-E48F-0643-7DB5DA0E226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432800" y="4468109"/>
            <a:ext cx="952500" cy="474573"/>
          </a:xfrm>
          <a:prstGeom prst="rect">
            <a:avLst/>
          </a:prstGeom>
        </xdr:spPr>
      </xdr:pic>
      <xdr:sp macro="" textlink="">
        <xdr:nvSpPr>
          <xdr:cNvPr id="16" name="Retângulo 15">
            <a:extLst>
              <a:ext uri="{FF2B5EF4-FFF2-40B4-BE49-F238E27FC236}">
                <a16:creationId xmlns:a16="http://schemas.microsoft.com/office/drawing/2014/main" id="{DCA55288-9E44-14B0-A47C-66BA4524FC50}"/>
              </a:ext>
            </a:extLst>
          </xdr:cNvPr>
          <xdr:cNvSpPr/>
        </xdr:nvSpPr>
        <xdr:spPr>
          <a:xfrm>
            <a:off x="9474200" y="4528635"/>
            <a:ext cx="5702300" cy="342723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pt-BR" sz="1600" b="1" cap="none" spc="0">
                <a:ln w="0"/>
                <a:solidFill>
                  <a:schemeClr val="bg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DEMONSTRATIVO RESULTADOS DO EXERCICIO</a:t>
            </a:r>
          </a:p>
        </xdr:txBody>
      </xdr:sp>
    </xdr:grpSp>
    <xdr:clientData/>
  </xdr:twoCellAnchor>
  <xdr:twoCellAnchor>
    <xdr:from>
      <xdr:col>1</xdr:col>
      <xdr:colOff>4406900</xdr:colOff>
      <xdr:row>8</xdr:row>
      <xdr:rowOff>241300</xdr:rowOff>
    </xdr:from>
    <xdr:to>
      <xdr:col>2</xdr:col>
      <xdr:colOff>0</xdr:colOff>
      <xdr:row>9</xdr:row>
      <xdr:rowOff>215900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24A9B245-48B2-6C4C-9C45-A8B17292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1663700"/>
          <a:ext cx="508000" cy="228600"/>
        </a:xfrm>
        <a:prstGeom prst="rect">
          <a:avLst/>
        </a:prstGeom>
      </xdr:spPr>
    </xdr:pic>
    <xdr:clientData/>
  </xdr:twoCellAnchor>
  <xdr:twoCellAnchor>
    <xdr:from>
      <xdr:col>0</xdr:col>
      <xdr:colOff>499477</xdr:colOff>
      <xdr:row>10</xdr:row>
      <xdr:rowOff>203200</xdr:rowOff>
    </xdr:from>
    <xdr:to>
      <xdr:col>2</xdr:col>
      <xdr:colOff>0</xdr:colOff>
      <xdr:row>12</xdr:row>
      <xdr:rowOff>51605</xdr:rowOff>
    </xdr:to>
    <xdr:grpSp>
      <xdr:nvGrpSpPr>
        <xdr:cNvPr id="42" name="Agrupar 41">
          <a:extLst>
            <a:ext uri="{FF2B5EF4-FFF2-40B4-BE49-F238E27FC236}">
              <a16:creationId xmlns:a16="http://schemas.microsoft.com/office/drawing/2014/main" id="{61498482-B4B5-BB68-5B8F-8D254C076269}"/>
            </a:ext>
          </a:extLst>
        </xdr:cNvPr>
        <xdr:cNvGrpSpPr/>
      </xdr:nvGrpSpPr>
      <xdr:grpSpPr>
        <a:xfrm>
          <a:off x="499477" y="2514600"/>
          <a:ext cx="4999623" cy="280205"/>
          <a:chOff x="499477" y="2514600"/>
          <a:chExt cx="4999623" cy="280205"/>
        </a:xfrm>
      </xdr:grpSpPr>
      <xdr:sp macro="" textlink="">
        <xdr:nvSpPr>
          <xdr:cNvPr id="19" name="Retângulo 18">
            <a:extLst>
              <a:ext uri="{FF2B5EF4-FFF2-40B4-BE49-F238E27FC236}">
                <a16:creationId xmlns:a16="http://schemas.microsoft.com/office/drawing/2014/main" id="{7D9471B1-1146-5173-1812-A65D9107476C}"/>
              </a:ext>
            </a:extLst>
          </xdr:cNvPr>
          <xdr:cNvSpPr/>
        </xdr:nvSpPr>
        <xdr:spPr>
          <a:xfrm>
            <a:off x="558800" y="2514600"/>
            <a:ext cx="4927600" cy="230939"/>
          </a:xfrm>
          <a:prstGeom prst="rect">
            <a:avLst/>
          </a:prstGeom>
          <a:solidFill>
            <a:srgbClr val="C00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0" name="Retângulo 19">
            <a:extLst>
              <a:ext uri="{FF2B5EF4-FFF2-40B4-BE49-F238E27FC236}">
                <a16:creationId xmlns:a16="http://schemas.microsoft.com/office/drawing/2014/main" id="{5A2BC609-912A-EEE1-185D-620CC82B2345}"/>
              </a:ext>
            </a:extLst>
          </xdr:cNvPr>
          <xdr:cNvSpPr/>
        </xdr:nvSpPr>
        <xdr:spPr>
          <a:xfrm>
            <a:off x="499477" y="2527300"/>
            <a:ext cx="2081660" cy="267505"/>
          </a:xfrm>
          <a:prstGeom prst="rect">
            <a:avLst/>
          </a:prstGeom>
          <a:noFill/>
        </xdr:spPr>
        <xdr:txBody>
          <a:bodyPr wrap="none" lIns="91440" tIns="45720" rIns="91440" bIns="45720">
            <a:noAutofit/>
          </a:bodyPr>
          <a:lstStyle/>
          <a:p>
            <a:pPr algn="ctr"/>
            <a:r>
              <a:rPr lang="pt-BR" sz="1200" b="1" cap="none" spc="0">
                <a:ln w="0"/>
                <a:solidFill>
                  <a:schemeClr val="bg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2. Custos Variáveis de Vendas</a:t>
            </a:r>
          </a:p>
        </xdr:txBody>
      </xdr:sp>
      <xdr:pic>
        <xdr:nvPicPr>
          <xdr:cNvPr id="21" name="Imagem 20">
            <a:extLst>
              <a:ext uri="{FF2B5EF4-FFF2-40B4-BE49-F238E27FC236}">
                <a16:creationId xmlns:a16="http://schemas.microsoft.com/office/drawing/2014/main" id="{6E1FDD9F-F163-C3F8-39D3-6B0DCBAC26C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016500" y="2563673"/>
            <a:ext cx="482600" cy="172772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457200</xdr:colOff>
      <xdr:row>19</xdr:row>
      <xdr:rowOff>0</xdr:rowOff>
    </xdr:from>
    <xdr:to>
      <xdr:col>1</xdr:col>
      <xdr:colOff>4902200</xdr:colOff>
      <xdr:row>20</xdr:row>
      <xdr:rowOff>26141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16A6B575-7391-4541-8BB8-3F58FFCB4543}"/>
            </a:ext>
          </a:extLst>
        </xdr:cNvPr>
        <xdr:cNvGrpSpPr/>
      </xdr:nvGrpSpPr>
      <xdr:grpSpPr>
        <a:xfrm>
          <a:off x="457200" y="4229100"/>
          <a:ext cx="5029200" cy="242041"/>
          <a:chOff x="435977" y="2044700"/>
          <a:chExt cx="5029200" cy="280141"/>
        </a:xfrm>
      </xdr:grpSpPr>
      <xdr:sp macro="" textlink="">
        <xdr:nvSpPr>
          <xdr:cNvPr id="23" name="Retângulo 22">
            <a:extLst>
              <a:ext uri="{FF2B5EF4-FFF2-40B4-BE49-F238E27FC236}">
                <a16:creationId xmlns:a16="http://schemas.microsoft.com/office/drawing/2014/main" id="{B86DC964-E246-E3F9-62B2-59CE2914B786}"/>
              </a:ext>
            </a:extLst>
          </xdr:cNvPr>
          <xdr:cNvSpPr/>
        </xdr:nvSpPr>
        <xdr:spPr>
          <a:xfrm>
            <a:off x="562978" y="2059399"/>
            <a:ext cx="4889500" cy="226600"/>
          </a:xfrm>
          <a:prstGeom prst="rect">
            <a:avLst/>
          </a:prstGeom>
          <a:solidFill>
            <a:srgbClr val="C00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4" name="Retângulo 23">
            <a:extLst>
              <a:ext uri="{FF2B5EF4-FFF2-40B4-BE49-F238E27FC236}">
                <a16:creationId xmlns:a16="http://schemas.microsoft.com/office/drawing/2014/main" id="{42D561E0-5724-D0B5-5503-60E8F71B624B}"/>
              </a:ext>
            </a:extLst>
          </xdr:cNvPr>
          <xdr:cNvSpPr/>
        </xdr:nvSpPr>
        <xdr:spPr>
          <a:xfrm>
            <a:off x="435977" y="2044700"/>
            <a:ext cx="2349500" cy="280141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pt-BR" sz="1200" b="1" cap="none" spc="0">
                <a:ln w="0"/>
                <a:solidFill>
                  <a:schemeClr val="bg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3. Custos Variáveis de Produção</a:t>
            </a:r>
          </a:p>
        </xdr:txBody>
      </xdr:sp>
      <xdr:pic>
        <xdr:nvPicPr>
          <xdr:cNvPr id="25" name="Imagem 24">
            <a:extLst>
              <a:ext uri="{FF2B5EF4-FFF2-40B4-BE49-F238E27FC236}">
                <a16:creationId xmlns:a16="http://schemas.microsoft.com/office/drawing/2014/main" id="{02167891-935A-DCD5-7AD8-C908ABFCFFC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91100" y="2095500"/>
            <a:ext cx="474077" cy="177779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241300</xdr:colOff>
      <xdr:row>29</xdr:row>
      <xdr:rowOff>177801</xdr:rowOff>
    </xdr:from>
    <xdr:to>
      <xdr:col>2</xdr:col>
      <xdr:colOff>0</xdr:colOff>
      <xdr:row>31</xdr:row>
      <xdr:rowOff>38842</xdr:rowOff>
    </xdr:to>
    <xdr:grpSp>
      <xdr:nvGrpSpPr>
        <xdr:cNvPr id="43" name="Agrupar 42">
          <a:extLst>
            <a:ext uri="{FF2B5EF4-FFF2-40B4-BE49-F238E27FC236}">
              <a16:creationId xmlns:a16="http://schemas.microsoft.com/office/drawing/2014/main" id="{525A7692-C631-B1E3-D2CD-55FE46CA3C9B}"/>
            </a:ext>
          </a:extLst>
        </xdr:cNvPr>
        <xdr:cNvGrpSpPr/>
      </xdr:nvGrpSpPr>
      <xdr:grpSpPr>
        <a:xfrm>
          <a:off x="241300" y="6438901"/>
          <a:ext cx="5257800" cy="242041"/>
          <a:chOff x="241300" y="6438901"/>
          <a:chExt cx="5257800" cy="242041"/>
        </a:xfrm>
      </xdr:grpSpPr>
      <xdr:sp macro="" textlink="">
        <xdr:nvSpPr>
          <xdr:cNvPr id="27" name="Retângulo 26">
            <a:extLst>
              <a:ext uri="{FF2B5EF4-FFF2-40B4-BE49-F238E27FC236}">
                <a16:creationId xmlns:a16="http://schemas.microsoft.com/office/drawing/2014/main" id="{0A212B3F-538B-A538-2309-9046EEC24FA4}"/>
              </a:ext>
            </a:extLst>
          </xdr:cNvPr>
          <xdr:cNvSpPr/>
        </xdr:nvSpPr>
        <xdr:spPr>
          <a:xfrm>
            <a:off x="596901" y="6438901"/>
            <a:ext cx="4889500" cy="210243"/>
          </a:xfrm>
          <a:prstGeom prst="rect">
            <a:avLst/>
          </a:prstGeom>
          <a:solidFill>
            <a:srgbClr val="C00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8" name="Retângulo 27">
            <a:extLst>
              <a:ext uri="{FF2B5EF4-FFF2-40B4-BE49-F238E27FC236}">
                <a16:creationId xmlns:a16="http://schemas.microsoft.com/office/drawing/2014/main" id="{CB39CD56-6116-26CE-C4FD-03307146CC79}"/>
              </a:ext>
            </a:extLst>
          </xdr:cNvPr>
          <xdr:cNvSpPr/>
        </xdr:nvSpPr>
        <xdr:spPr>
          <a:xfrm>
            <a:off x="241300" y="6451601"/>
            <a:ext cx="2349500" cy="229341"/>
          </a:xfrm>
          <a:prstGeom prst="rect">
            <a:avLst/>
          </a:prstGeom>
          <a:noFill/>
        </xdr:spPr>
        <xdr:txBody>
          <a:bodyPr wrap="square" lIns="91440" tIns="45720" rIns="91440" bIns="45720">
            <a:noAutofit/>
          </a:bodyPr>
          <a:lstStyle/>
          <a:p>
            <a:pPr algn="ctr"/>
            <a:r>
              <a:rPr lang="pt-BR" sz="1200" b="1" cap="none" spc="0">
                <a:ln w="0"/>
                <a:solidFill>
                  <a:schemeClr val="bg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4. Custos Variáveis  Total</a:t>
            </a:r>
          </a:p>
        </xdr:txBody>
      </xdr:sp>
      <xdr:pic>
        <xdr:nvPicPr>
          <xdr:cNvPr id="29" name="Imagem 28">
            <a:extLst>
              <a:ext uri="{FF2B5EF4-FFF2-40B4-BE49-F238E27FC236}">
                <a16:creationId xmlns:a16="http://schemas.microsoft.com/office/drawing/2014/main" id="{A1254F93-F2B6-B9FA-01D7-8EC6106BC6D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025023" y="6493189"/>
            <a:ext cx="474077" cy="145541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317500</xdr:colOff>
      <xdr:row>31</xdr:row>
      <xdr:rowOff>165100</xdr:rowOff>
    </xdr:from>
    <xdr:to>
      <xdr:col>2</xdr:col>
      <xdr:colOff>0</xdr:colOff>
      <xdr:row>33</xdr:row>
      <xdr:rowOff>38841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753058F1-3F09-6441-9F13-1C0C5054391A}"/>
            </a:ext>
          </a:extLst>
        </xdr:cNvPr>
        <xdr:cNvGrpSpPr/>
      </xdr:nvGrpSpPr>
      <xdr:grpSpPr>
        <a:xfrm>
          <a:off x="317500" y="6807200"/>
          <a:ext cx="5181600" cy="254741"/>
          <a:chOff x="283577" y="2044700"/>
          <a:chExt cx="5181600" cy="280141"/>
        </a:xfrm>
      </xdr:grpSpPr>
      <xdr:sp macro="" textlink="">
        <xdr:nvSpPr>
          <xdr:cNvPr id="31" name="Retângulo 30">
            <a:extLst>
              <a:ext uri="{FF2B5EF4-FFF2-40B4-BE49-F238E27FC236}">
                <a16:creationId xmlns:a16="http://schemas.microsoft.com/office/drawing/2014/main" id="{25074E15-2F43-6F5A-194D-CC610E8832F6}"/>
              </a:ext>
            </a:extLst>
          </xdr:cNvPr>
          <xdr:cNvSpPr/>
        </xdr:nvSpPr>
        <xdr:spPr>
          <a:xfrm>
            <a:off x="562978" y="2082800"/>
            <a:ext cx="4889500" cy="203200"/>
          </a:xfrm>
          <a:prstGeom prst="rect">
            <a:avLst/>
          </a:prstGeom>
          <a:solidFill>
            <a:srgbClr val="C00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32" name="Retângulo 31">
            <a:extLst>
              <a:ext uri="{FF2B5EF4-FFF2-40B4-BE49-F238E27FC236}">
                <a16:creationId xmlns:a16="http://schemas.microsoft.com/office/drawing/2014/main" id="{F163FCE9-731A-3C7E-FA4B-D9C3C79B49E4}"/>
              </a:ext>
            </a:extLst>
          </xdr:cNvPr>
          <xdr:cNvSpPr/>
        </xdr:nvSpPr>
        <xdr:spPr>
          <a:xfrm>
            <a:off x="283577" y="2044700"/>
            <a:ext cx="2349500" cy="280141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pt-BR" sz="1200" b="1" cap="none" spc="0">
                <a:ln w="0"/>
                <a:solidFill>
                  <a:schemeClr val="bg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5. Margem de Contribuição</a:t>
            </a:r>
          </a:p>
        </xdr:txBody>
      </xdr:sp>
      <xdr:pic>
        <xdr:nvPicPr>
          <xdr:cNvPr id="33" name="Imagem 32">
            <a:extLst>
              <a:ext uri="{FF2B5EF4-FFF2-40B4-BE49-F238E27FC236}">
                <a16:creationId xmlns:a16="http://schemas.microsoft.com/office/drawing/2014/main" id="{3D257D58-DA9D-9E05-E227-031CFFE4679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91100" y="2095500"/>
            <a:ext cx="474077" cy="177779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63500</xdr:colOff>
      <xdr:row>33</xdr:row>
      <xdr:rowOff>152400</xdr:rowOff>
    </xdr:from>
    <xdr:to>
      <xdr:col>1</xdr:col>
      <xdr:colOff>4902200</xdr:colOff>
      <xdr:row>35</xdr:row>
      <xdr:rowOff>51541</xdr:rowOff>
    </xdr:to>
    <xdr:grpSp>
      <xdr:nvGrpSpPr>
        <xdr:cNvPr id="34" name="Agrupar 33">
          <a:extLst>
            <a:ext uri="{FF2B5EF4-FFF2-40B4-BE49-F238E27FC236}">
              <a16:creationId xmlns:a16="http://schemas.microsoft.com/office/drawing/2014/main" id="{171E9C22-4C81-7849-ACDF-DE5AB297B329}"/>
            </a:ext>
          </a:extLst>
        </xdr:cNvPr>
        <xdr:cNvGrpSpPr/>
      </xdr:nvGrpSpPr>
      <xdr:grpSpPr>
        <a:xfrm>
          <a:off x="63500" y="7175500"/>
          <a:ext cx="5422900" cy="280141"/>
          <a:chOff x="42277" y="2044700"/>
          <a:chExt cx="5422900" cy="280141"/>
        </a:xfrm>
      </xdr:grpSpPr>
      <xdr:sp macro="" textlink="">
        <xdr:nvSpPr>
          <xdr:cNvPr id="35" name="Retângulo 34">
            <a:extLst>
              <a:ext uri="{FF2B5EF4-FFF2-40B4-BE49-F238E27FC236}">
                <a16:creationId xmlns:a16="http://schemas.microsoft.com/office/drawing/2014/main" id="{B05A8D26-5A4B-2A47-304D-8B039B5420EC}"/>
              </a:ext>
            </a:extLst>
          </xdr:cNvPr>
          <xdr:cNvSpPr/>
        </xdr:nvSpPr>
        <xdr:spPr>
          <a:xfrm>
            <a:off x="562978" y="2082800"/>
            <a:ext cx="4889500" cy="203200"/>
          </a:xfrm>
          <a:prstGeom prst="rect">
            <a:avLst/>
          </a:prstGeom>
          <a:solidFill>
            <a:srgbClr val="C00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36" name="Retângulo 35">
            <a:extLst>
              <a:ext uri="{FF2B5EF4-FFF2-40B4-BE49-F238E27FC236}">
                <a16:creationId xmlns:a16="http://schemas.microsoft.com/office/drawing/2014/main" id="{F1A2E21D-C4CD-C3A6-8CE2-2B6EDCBD7C1B}"/>
              </a:ext>
            </a:extLst>
          </xdr:cNvPr>
          <xdr:cNvSpPr/>
        </xdr:nvSpPr>
        <xdr:spPr>
          <a:xfrm>
            <a:off x="42277" y="2044700"/>
            <a:ext cx="2019300" cy="280141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pt-BR" sz="1200" b="1" cap="none" spc="0">
                <a:ln w="0"/>
                <a:solidFill>
                  <a:schemeClr val="bg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6. Custos Fixos</a:t>
            </a:r>
          </a:p>
        </xdr:txBody>
      </xdr:sp>
      <xdr:pic>
        <xdr:nvPicPr>
          <xdr:cNvPr id="37" name="Imagem 36">
            <a:extLst>
              <a:ext uri="{FF2B5EF4-FFF2-40B4-BE49-F238E27FC236}">
                <a16:creationId xmlns:a16="http://schemas.microsoft.com/office/drawing/2014/main" id="{A40EE805-2FF8-2F18-53EB-A8F826D1C77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91100" y="2095500"/>
            <a:ext cx="474077" cy="177779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279400</xdr:colOff>
      <xdr:row>46</xdr:row>
      <xdr:rowOff>139700</xdr:rowOff>
    </xdr:from>
    <xdr:to>
      <xdr:col>2</xdr:col>
      <xdr:colOff>0</xdr:colOff>
      <xdr:row>48</xdr:row>
      <xdr:rowOff>38841</xdr:rowOff>
    </xdr:to>
    <xdr:grpSp>
      <xdr:nvGrpSpPr>
        <xdr:cNvPr id="38" name="Agrupar 37">
          <a:extLst>
            <a:ext uri="{FF2B5EF4-FFF2-40B4-BE49-F238E27FC236}">
              <a16:creationId xmlns:a16="http://schemas.microsoft.com/office/drawing/2014/main" id="{9AEC90D3-71B0-A54A-8B22-A3F546F66528}"/>
            </a:ext>
          </a:extLst>
        </xdr:cNvPr>
        <xdr:cNvGrpSpPr/>
      </xdr:nvGrpSpPr>
      <xdr:grpSpPr>
        <a:xfrm>
          <a:off x="279400" y="9258300"/>
          <a:ext cx="5219700" cy="280141"/>
          <a:chOff x="245477" y="2044700"/>
          <a:chExt cx="5219700" cy="280141"/>
        </a:xfrm>
      </xdr:grpSpPr>
      <xdr:sp macro="" textlink="">
        <xdr:nvSpPr>
          <xdr:cNvPr id="39" name="Retângulo 38">
            <a:extLst>
              <a:ext uri="{FF2B5EF4-FFF2-40B4-BE49-F238E27FC236}">
                <a16:creationId xmlns:a16="http://schemas.microsoft.com/office/drawing/2014/main" id="{0FCE6AC3-0C05-F01D-FF2E-BEF6CC434AD7}"/>
              </a:ext>
            </a:extLst>
          </xdr:cNvPr>
          <xdr:cNvSpPr/>
        </xdr:nvSpPr>
        <xdr:spPr>
          <a:xfrm>
            <a:off x="562978" y="2082800"/>
            <a:ext cx="4889500" cy="203200"/>
          </a:xfrm>
          <a:prstGeom prst="rect">
            <a:avLst/>
          </a:prstGeom>
          <a:solidFill>
            <a:srgbClr val="C00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0" name="Retângulo 39">
            <a:extLst>
              <a:ext uri="{FF2B5EF4-FFF2-40B4-BE49-F238E27FC236}">
                <a16:creationId xmlns:a16="http://schemas.microsoft.com/office/drawing/2014/main" id="{39149F51-17D2-0E47-15E2-9B41D64732A1}"/>
              </a:ext>
            </a:extLst>
          </xdr:cNvPr>
          <xdr:cNvSpPr/>
        </xdr:nvSpPr>
        <xdr:spPr>
          <a:xfrm>
            <a:off x="245477" y="2044700"/>
            <a:ext cx="2019300" cy="280141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pt-BR" sz="1200" b="1" cap="none" spc="0">
                <a:ln w="0"/>
                <a:solidFill>
                  <a:schemeClr val="bg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7. Lucro Operacional</a:t>
            </a:r>
          </a:p>
        </xdr:txBody>
      </xdr:sp>
      <xdr:pic>
        <xdr:nvPicPr>
          <xdr:cNvPr id="41" name="Imagem 40">
            <a:extLst>
              <a:ext uri="{FF2B5EF4-FFF2-40B4-BE49-F238E27FC236}">
                <a16:creationId xmlns:a16="http://schemas.microsoft.com/office/drawing/2014/main" id="{3B5E5957-DEA1-83AB-1887-19431AF838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91100" y="2095500"/>
            <a:ext cx="474077" cy="177779"/>
          </a:xfrm>
          <a:prstGeom prst="rect">
            <a:avLst/>
          </a:prstGeom>
        </xdr:spPr>
      </xdr:pic>
    </xdr:grp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334</xdr:row>
      <xdr:rowOff>0</xdr:rowOff>
    </xdr:from>
    <xdr:to>
      <xdr:col>50</xdr:col>
      <xdr:colOff>63500</xdr:colOff>
      <xdr:row>336</xdr:row>
      <xdr:rowOff>38100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B7567EEC-3B86-E14C-AD29-D0A3D90A3890}"/>
            </a:ext>
          </a:extLst>
        </xdr:cNvPr>
        <xdr:cNvGrpSpPr/>
      </xdr:nvGrpSpPr>
      <xdr:grpSpPr>
        <a:xfrm>
          <a:off x="584200" y="64109600"/>
          <a:ext cx="51244500" cy="419100"/>
          <a:chOff x="0" y="75996800"/>
          <a:chExt cx="51346100" cy="419100"/>
        </a:xfrm>
      </xdr:grpSpPr>
      <xdr:sp macro="" textlink="">
        <xdr:nvSpPr>
          <xdr:cNvPr id="3" name="Retângulo 2">
            <a:extLst>
              <a:ext uri="{FF2B5EF4-FFF2-40B4-BE49-F238E27FC236}">
                <a16:creationId xmlns:a16="http://schemas.microsoft.com/office/drawing/2014/main" id="{1CC83B86-D7B6-3280-DF0E-89A3B6AC625E}"/>
              </a:ext>
            </a:extLst>
          </xdr:cNvPr>
          <xdr:cNvSpPr/>
        </xdr:nvSpPr>
        <xdr:spPr>
          <a:xfrm>
            <a:off x="0" y="75996800"/>
            <a:ext cx="51346100" cy="419100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5" name="image3.jpg">
            <a:extLst>
              <a:ext uri="{FF2B5EF4-FFF2-40B4-BE49-F238E27FC236}">
                <a16:creationId xmlns:a16="http://schemas.microsoft.com/office/drawing/2014/main" id="{E5AED855-2096-E22A-6BFB-67E09BF37AA7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0" y="75996800"/>
            <a:ext cx="965200" cy="419100"/>
          </a:xfrm>
          <a:prstGeom prst="rect">
            <a:avLst/>
          </a:prstGeom>
          <a:noFill/>
        </xdr:spPr>
      </xdr:pic>
    </xdr:grpSp>
    <xdr:clientData/>
  </xdr:twoCellAnchor>
  <xdr:twoCellAnchor>
    <xdr:from>
      <xdr:col>1</xdr:col>
      <xdr:colOff>0</xdr:colOff>
      <xdr:row>1</xdr:row>
      <xdr:rowOff>177800</xdr:rowOff>
    </xdr:from>
    <xdr:to>
      <xdr:col>4</xdr:col>
      <xdr:colOff>12700</xdr:colOff>
      <xdr:row>4</xdr:row>
      <xdr:rowOff>25400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E65F6401-CA5C-4749-9E11-C963B00CFB43}"/>
            </a:ext>
          </a:extLst>
        </xdr:cNvPr>
        <xdr:cNvGrpSpPr/>
      </xdr:nvGrpSpPr>
      <xdr:grpSpPr>
        <a:xfrm>
          <a:off x="584200" y="381000"/>
          <a:ext cx="6985000" cy="622300"/>
          <a:chOff x="8356600" y="4406900"/>
          <a:chExt cx="6985000" cy="622300"/>
        </a:xfrm>
      </xdr:grpSpPr>
      <xdr:sp macro="" textlink="">
        <xdr:nvSpPr>
          <xdr:cNvPr id="7" name="Retângulo 6">
            <a:extLst>
              <a:ext uri="{FF2B5EF4-FFF2-40B4-BE49-F238E27FC236}">
                <a16:creationId xmlns:a16="http://schemas.microsoft.com/office/drawing/2014/main" id="{01EA3952-DCDB-39D3-B450-88E28BF6FAD2}"/>
              </a:ext>
            </a:extLst>
          </xdr:cNvPr>
          <xdr:cNvSpPr/>
        </xdr:nvSpPr>
        <xdr:spPr>
          <a:xfrm>
            <a:off x="8356600" y="4406900"/>
            <a:ext cx="6985000" cy="622300"/>
          </a:xfrm>
          <a:prstGeom prst="rect">
            <a:avLst/>
          </a:prstGeom>
          <a:solidFill>
            <a:schemeClr val="accent6">
              <a:lumMod val="5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bg1"/>
              </a:solidFill>
            </a:endParaRPr>
          </a:p>
        </xdr:txBody>
      </xdr:sp>
      <xdr:pic>
        <xdr:nvPicPr>
          <xdr:cNvPr id="8" name="Imagem 7">
            <a:extLst>
              <a:ext uri="{FF2B5EF4-FFF2-40B4-BE49-F238E27FC236}">
                <a16:creationId xmlns:a16="http://schemas.microsoft.com/office/drawing/2014/main" id="{FA006C76-A3AF-B382-E42D-1D8B307FC15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356600" y="4406900"/>
            <a:ext cx="1061156" cy="596901"/>
          </a:xfrm>
          <a:prstGeom prst="rect">
            <a:avLst/>
          </a:prstGeom>
        </xdr:spPr>
      </xdr:pic>
      <xdr:sp macro="" textlink="">
        <xdr:nvSpPr>
          <xdr:cNvPr id="9" name="Retângulo 8">
            <a:extLst>
              <a:ext uri="{FF2B5EF4-FFF2-40B4-BE49-F238E27FC236}">
                <a16:creationId xmlns:a16="http://schemas.microsoft.com/office/drawing/2014/main" id="{5B3DFD50-53C4-3BB3-EC7A-681B9742B977}"/>
              </a:ext>
            </a:extLst>
          </xdr:cNvPr>
          <xdr:cNvSpPr/>
        </xdr:nvSpPr>
        <xdr:spPr>
          <a:xfrm>
            <a:off x="9474200" y="4528635"/>
            <a:ext cx="5702300" cy="342723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pt-BR" sz="1600" b="1" cap="none" spc="0">
                <a:ln w="0"/>
                <a:solidFill>
                  <a:schemeClr val="bg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DEMONSTRATIVO RESULTADOS DO EXERCICIO</a:t>
            </a:r>
          </a:p>
        </xdr:txBody>
      </xdr:sp>
    </xdr:grpSp>
    <xdr:clientData/>
  </xdr:twoCellAnchor>
  <xdr:twoCellAnchor>
    <xdr:from>
      <xdr:col>7</xdr:col>
      <xdr:colOff>952500</xdr:colOff>
      <xdr:row>13</xdr:row>
      <xdr:rowOff>101600</xdr:rowOff>
    </xdr:from>
    <xdr:to>
      <xdr:col>17</xdr:col>
      <xdr:colOff>0</xdr:colOff>
      <xdr:row>15</xdr:row>
      <xdr:rowOff>215900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B29E5725-D412-71C4-B022-43F0F7237633}"/>
            </a:ext>
          </a:extLst>
        </xdr:cNvPr>
        <xdr:cNvGrpSpPr/>
      </xdr:nvGrpSpPr>
      <xdr:grpSpPr>
        <a:xfrm>
          <a:off x="11023600" y="3060700"/>
          <a:ext cx="8890000" cy="520700"/>
          <a:chOff x="11036300" y="6235700"/>
          <a:chExt cx="7861300" cy="520700"/>
        </a:xfrm>
      </xdr:grpSpPr>
      <xdr:sp macro="" textlink="">
        <xdr:nvSpPr>
          <xdr:cNvPr id="13" name="Retângulo 12">
            <a:extLst>
              <a:ext uri="{FF2B5EF4-FFF2-40B4-BE49-F238E27FC236}">
                <a16:creationId xmlns:a16="http://schemas.microsoft.com/office/drawing/2014/main" id="{6FC4D249-1FC6-8340-836A-F6F50081CDAE}"/>
              </a:ext>
            </a:extLst>
          </xdr:cNvPr>
          <xdr:cNvSpPr/>
        </xdr:nvSpPr>
        <xdr:spPr>
          <a:xfrm>
            <a:off x="11036300" y="6235700"/>
            <a:ext cx="7861300" cy="520700"/>
          </a:xfrm>
          <a:prstGeom prst="rect">
            <a:avLst/>
          </a:prstGeom>
          <a:solidFill>
            <a:srgbClr val="00B05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14" name="Imagem 13">
            <a:extLst>
              <a:ext uri="{FF2B5EF4-FFF2-40B4-BE49-F238E27FC236}">
                <a16:creationId xmlns:a16="http://schemas.microsoft.com/office/drawing/2014/main" id="{1B4A39A5-6FA5-B249-8EFD-50E181C1516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049000" y="6248400"/>
            <a:ext cx="1061156" cy="507999"/>
          </a:xfrm>
          <a:prstGeom prst="rect">
            <a:avLst/>
          </a:prstGeom>
        </xdr:spPr>
      </xdr:pic>
      <xdr:sp macro="" textlink="">
        <xdr:nvSpPr>
          <xdr:cNvPr id="15" name="Retângulo 14">
            <a:extLst>
              <a:ext uri="{FF2B5EF4-FFF2-40B4-BE49-F238E27FC236}">
                <a16:creationId xmlns:a16="http://schemas.microsoft.com/office/drawing/2014/main" id="{65C1F92C-96AD-F04C-B735-0CB7B168E237}"/>
              </a:ext>
            </a:extLst>
          </xdr:cNvPr>
          <xdr:cNvSpPr/>
        </xdr:nvSpPr>
        <xdr:spPr>
          <a:xfrm>
            <a:off x="13762147" y="6319335"/>
            <a:ext cx="2879506" cy="342786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pt-BR" sz="1600" b="1" cap="none" spc="0">
                <a:ln w="0"/>
                <a:solidFill>
                  <a:schemeClr val="bg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CUSTEIO POR ABSORÇÃO IDEAL</a:t>
            </a:r>
          </a:p>
        </xdr:txBody>
      </xdr:sp>
    </xdr:grpSp>
    <xdr:clientData/>
  </xdr:twoCellAnchor>
  <xdr:twoCellAnchor>
    <xdr:from>
      <xdr:col>7</xdr:col>
      <xdr:colOff>939800</xdr:colOff>
      <xdr:row>3</xdr:row>
      <xdr:rowOff>495300</xdr:rowOff>
    </xdr:from>
    <xdr:to>
      <xdr:col>16</xdr:col>
      <xdr:colOff>952500</xdr:colOff>
      <xdr:row>5</xdr:row>
      <xdr:rowOff>228600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C0BBD4B0-FC0E-674D-8683-7B87DD72A29C}"/>
            </a:ext>
          </a:extLst>
        </xdr:cNvPr>
        <xdr:cNvGrpSpPr/>
      </xdr:nvGrpSpPr>
      <xdr:grpSpPr>
        <a:xfrm>
          <a:off x="11010900" y="889000"/>
          <a:ext cx="8890000" cy="520700"/>
          <a:chOff x="11099800" y="5029200"/>
          <a:chExt cx="7861300" cy="520700"/>
        </a:xfrm>
      </xdr:grpSpPr>
      <xdr:sp macro="" textlink="">
        <xdr:nvSpPr>
          <xdr:cNvPr id="19" name="Retângulo 18">
            <a:extLst>
              <a:ext uri="{FF2B5EF4-FFF2-40B4-BE49-F238E27FC236}">
                <a16:creationId xmlns:a16="http://schemas.microsoft.com/office/drawing/2014/main" id="{EF69C3E1-67F6-1A04-5AF3-91DA0A39F593}"/>
              </a:ext>
            </a:extLst>
          </xdr:cNvPr>
          <xdr:cNvSpPr/>
        </xdr:nvSpPr>
        <xdr:spPr>
          <a:xfrm>
            <a:off x="11099800" y="5029200"/>
            <a:ext cx="7861300" cy="520700"/>
          </a:xfrm>
          <a:prstGeom prst="rect">
            <a:avLst/>
          </a:prstGeom>
          <a:solidFill>
            <a:srgbClr val="00B05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20" name="Imagem 19">
            <a:extLst>
              <a:ext uri="{FF2B5EF4-FFF2-40B4-BE49-F238E27FC236}">
                <a16:creationId xmlns:a16="http://schemas.microsoft.com/office/drawing/2014/main" id="{8333B6AA-2A95-94CE-D403-399818EC0F2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112500" y="5041900"/>
            <a:ext cx="1061156" cy="507999"/>
          </a:xfrm>
          <a:prstGeom prst="rect">
            <a:avLst/>
          </a:prstGeom>
        </xdr:spPr>
      </xdr:pic>
      <xdr:sp macro="" textlink="">
        <xdr:nvSpPr>
          <xdr:cNvPr id="21" name="Retângulo 20">
            <a:extLst>
              <a:ext uri="{FF2B5EF4-FFF2-40B4-BE49-F238E27FC236}">
                <a16:creationId xmlns:a16="http://schemas.microsoft.com/office/drawing/2014/main" id="{E169390B-C7C6-000E-6F82-809F29EDF0B7}"/>
              </a:ext>
            </a:extLst>
          </xdr:cNvPr>
          <xdr:cNvSpPr/>
        </xdr:nvSpPr>
        <xdr:spPr>
          <a:xfrm>
            <a:off x="13648803" y="5112835"/>
            <a:ext cx="3233194" cy="342786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pt-BR" sz="1600" b="1" cap="none" spc="0">
                <a:ln w="0"/>
                <a:solidFill>
                  <a:schemeClr val="bg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CUSTEIO POR ABSORÇÃO INTEGRAL</a:t>
            </a:r>
          </a:p>
        </xdr:txBody>
      </xdr:sp>
    </xdr:grpSp>
    <xdr:clientData/>
  </xdr:twoCellAnchor>
  <xdr:twoCellAnchor>
    <xdr:from>
      <xdr:col>1</xdr:col>
      <xdr:colOff>4406900</xdr:colOff>
      <xdr:row>6</xdr:row>
      <xdr:rowOff>241300</xdr:rowOff>
    </xdr:from>
    <xdr:to>
      <xdr:col>2</xdr:col>
      <xdr:colOff>0</xdr:colOff>
      <xdr:row>7</xdr:row>
      <xdr:rowOff>215900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59521B3-1930-8845-9062-19082E07E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1663700"/>
          <a:ext cx="508000" cy="228600"/>
        </a:xfrm>
        <a:prstGeom prst="rect">
          <a:avLst/>
        </a:prstGeom>
      </xdr:spPr>
    </xdr:pic>
    <xdr:clientData/>
  </xdr:twoCellAnchor>
  <xdr:twoCellAnchor>
    <xdr:from>
      <xdr:col>0</xdr:col>
      <xdr:colOff>457200</xdr:colOff>
      <xdr:row>16</xdr:row>
      <xdr:rowOff>228600</xdr:rowOff>
    </xdr:from>
    <xdr:to>
      <xdr:col>1</xdr:col>
      <xdr:colOff>4902200</xdr:colOff>
      <xdr:row>18</xdr:row>
      <xdr:rowOff>26141</xdr:rowOff>
    </xdr:to>
    <xdr:grpSp>
      <xdr:nvGrpSpPr>
        <xdr:cNvPr id="29" name="Agrupar 28">
          <a:extLst>
            <a:ext uri="{FF2B5EF4-FFF2-40B4-BE49-F238E27FC236}">
              <a16:creationId xmlns:a16="http://schemas.microsoft.com/office/drawing/2014/main" id="{0653A93E-69D5-0A4A-A6C8-A2BD1A9C242A}"/>
            </a:ext>
          </a:extLst>
        </xdr:cNvPr>
        <xdr:cNvGrpSpPr/>
      </xdr:nvGrpSpPr>
      <xdr:grpSpPr>
        <a:xfrm>
          <a:off x="457200" y="3835400"/>
          <a:ext cx="5029200" cy="280141"/>
          <a:chOff x="435977" y="2044700"/>
          <a:chExt cx="5029200" cy="280141"/>
        </a:xfrm>
      </xdr:grpSpPr>
      <xdr:sp macro="" textlink="">
        <xdr:nvSpPr>
          <xdr:cNvPr id="30" name="Retângulo 29">
            <a:extLst>
              <a:ext uri="{FF2B5EF4-FFF2-40B4-BE49-F238E27FC236}">
                <a16:creationId xmlns:a16="http://schemas.microsoft.com/office/drawing/2014/main" id="{178C003B-E57F-4CAB-606E-E7A0D3844F21}"/>
              </a:ext>
            </a:extLst>
          </xdr:cNvPr>
          <xdr:cNvSpPr/>
        </xdr:nvSpPr>
        <xdr:spPr>
          <a:xfrm>
            <a:off x="562978" y="2082800"/>
            <a:ext cx="4889500" cy="203200"/>
          </a:xfrm>
          <a:prstGeom prst="rect">
            <a:avLst/>
          </a:prstGeom>
          <a:solidFill>
            <a:srgbClr val="C00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31" name="Retângulo 30">
            <a:extLst>
              <a:ext uri="{FF2B5EF4-FFF2-40B4-BE49-F238E27FC236}">
                <a16:creationId xmlns:a16="http://schemas.microsoft.com/office/drawing/2014/main" id="{6DED9838-7F44-D682-3ADB-729244CDF098}"/>
              </a:ext>
            </a:extLst>
          </xdr:cNvPr>
          <xdr:cNvSpPr/>
        </xdr:nvSpPr>
        <xdr:spPr>
          <a:xfrm>
            <a:off x="435977" y="2044700"/>
            <a:ext cx="2349500" cy="280141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pt-BR" sz="1200" b="1" cap="none" spc="0">
                <a:ln w="0"/>
                <a:solidFill>
                  <a:schemeClr val="bg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3. Custos Variáveis de Produção</a:t>
            </a:r>
          </a:p>
        </xdr:txBody>
      </xdr:sp>
      <xdr:pic>
        <xdr:nvPicPr>
          <xdr:cNvPr id="32" name="Imagem 31">
            <a:extLst>
              <a:ext uri="{FF2B5EF4-FFF2-40B4-BE49-F238E27FC236}">
                <a16:creationId xmlns:a16="http://schemas.microsoft.com/office/drawing/2014/main" id="{47440AF6-259B-A5FF-FA70-315F0141BEB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91100" y="2095500"/>
            <a:ext cx="474077" cy="177779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241300</xdr:colOff>
      <xdr:row>27</xdr:row>
      <xdr:rowOff>190500</xdr:rowOff>
    </xdr:from>
    <xdr:to>
      <xdr:col>2</xdr:col>
      <xdr:colOff>0</xdr:colOff>
      <xdr:row>29</xdr:row>
      <xdr:rowOff>38841</xdr:rowOff>
    </xdr:to>
    <xdr:grpSp>
      <xdr:nvGrpSpPr>
        <xdr:cNvPr id="33" name="Agrupar 32">
          <a:extLst>
            <a:ext uri="{FF2B5EF4-FFF2-40B4-BE49-F238E27FC236}">
              <a16:creationId xmlns:a16="http://schemas.microsoft.com/office/drawing/2014/main" id="{BE597E46-E18E-6C4E-9D3B-F8CF985F69DF}"/>
            </a:ext>
          </a:extLst>
        </xdr:cNvPr>
        <xdr:cNvGrpSpPr/>
      </xdr:nvGrpSpPr>
      <xdr:grpSpPr>
        <a:xfrm>
          <a:off x="241300" y="6121400"/>
          <a:ext cx="5257800" cy="280141"/>
          <a:chOff x="207377" y="2044700"/>
          <a:chExt cx="5257800" cy="280141"/>
        </a:xfrm>
      </xdr:grpSpPr>
      <xdr:sp macro="" textlink="">
        <xdr:nvSpPr>
          <xdr:cNvPr id="34" name="Retângulo 33">
            <a:extLst>
              <a:ext uri="{FF2B5EF4-FFF2-40B4-BE49-F238E27FC236}">
                <a16:creationId xmlns:a16="http://schemas.microsoft.com/office/drawing/2014/main" id="{0150F2EB-71C7-52F6-0D81-02FAA24611F8}"/>
              </a:ext>
            </a:extLst>
          </xdr:cNvPr>
          <xdr:cNvSpPr/>
        </xdr:nvSpPr>
        <xdr:spPr>
          <a:xfrm>
            <a:off x="562978" y="2082800"/>
            <a:ext cx="4889500" cy="203200"/>
          </a:xfrm>
          <a:prstGeom prst="rect">
            <a:avLst/>
          </a:prstGeom>
          <a:solidFill>
            <a:srgbClr val="C00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35" name="Retângulo 34">
            <a:extLst>
              <a:ext uri="{FF2B5EF4-FFF2-40B4-BE49-F238E27FC236}">
                <a16:creationId xmlns:a16="http://schemas.microsoft.com/office/drawing/2014/main" id="{24542D4F-6446-2D23-935E-BB2166942392}"/>
              </a:ext>
            </a:extLst>
          </xdr:cNvPr>
          <xdr:cNvSpPr/>
        </xdr:nvSpPr>
        <xdr:spPr>
          <a:xfrm>
            <a:off x="207377" y="2044700"/>
            <a:ext cx="2349500" cy="280141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pt-BR" sz="1200" b="1" cap="none" spc="0">
                <a:ln w="0"/>
                <a:solidFill>
                  <a:schemeClr val="bg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4. Custos Variáveis  Total</a:t>
            </a:r>
          </a:p>
        </xdr:txBody>
      </xdr:sp>
      <xdr:pic>
        <xdr:nvPicPr>
          <xdr:cNvPr id="36" name="Imagem 35">
            <a:extLst>
              <a:ext uri="{FF2B5EF4-FFF2-40B4-BE49-F238E27FC236}">
                <a16:creationId xmlns:a16="http://schemas.microsoft.com/office/drawing/2014/main" id="{B4EEAF47-8F3A-FA46-E6DF-448B4C8B71D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91100" y="2095500"/>
            <a:ext cx="474077" cy="177779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317500</xdr:colOff>
      <xdr:row>29</xdr:row>
      <xdr:rowOff>165100</xdr:rowOff>
    </xdr:from>
    <xdr:to>
      <xdr:col>2</xdr:col>
      <xdr:colOff>0</xdr:colOff>
      <xdr:row>31</xdr:row>
      <xdr:rowOff>38841</xdr:rowOff>
    </xdr:to>
    <xdr:grpSp>
      <xdr:nvGrpSpPr>
        <xdr:cNvPr id="37" name="Agrupar 36">
          <a:extLst>
            <a:ext uri="{FF2B5EF4-FFF2-40B4-BE49-F238E27FC236}">
              <a16:creationId xmlns:a16="http://schemas.microsoft.com/office/drawing/2014/main" id="{ADCA5F50-0EB6-5940-BCF8-56DC3D0CCCD8}"/>
            </a:ext>
          </a:extLst>
        </xdr:cNvPr>
        <xdr:cNvGrpSpPr/>
      </xdr:nvGrpSpPr>
      <xdr:grpSpPr>
        <a:xfrm>
          <a:off x="317500" y="6527800"/>
          <a:ext cx="5181600" cy="280141"/>
          <a:chOff x="283577" y="2044700"/>
          <a:chExt cx="5181600" cy="280141"/>
        </a:xfrm>
      </xdr:grpSpPr>
      <xdr:sp macro="" textlink="">
        <xdr:nvSpPr>
          <xdr:cNvPr id="38" name="Retângulo 37">
            <a:extLst>
              <a:ext uri="{FF2B5EF4-FFF2-40B4-BE49-F238E27FC236}">
                <a16:creationId xmlns:a16="http://schemas.microsoft.com/office/drawing/2014/main" id="{4DB58974-E537-011D-9724-FEE6563D48A2}"/>
              </a:ext>
            </a:extLst>
          </xdr:cNvPr>
          <xdr:cNvSpPr/>
        </xdr:nvSpPr>
        <xdr:spPr>
          <a:xfrm>
            <a:off x="562978" y="2082800"/>
            <a:ext cx="4889500" cy="203200"/>
          </a:xfrm>
          <a:prstGeom prst="rect">
            <a:avLst/>
          </a:prstGeom>
          <a:solidFill>
            <a:srgbClr val="C00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39" name="Retângulo 38">
            <a:extLst>
              <a:ext uri="{FF2B5EF4-FFF2-40B4-BE49-F238E27FC236}">
                <a16:creationId xmlns:a16="http://schemas.microsoft.com/office/drawing/2014/main" id="{FFECA28F-4A18-EF5F-701F-CBD699A6088E}"/>
              </a:ext>
            </a:extLst>
          </xdr:cNvPr>
          <xdr:cNvSpPr/>
        </xdr:nvSpPr>
        <xdr:spPr>
          <a:xfrm>
            <a:off x="283577" y="2044700"/>
            <a:ext cx="2349500" cy="280141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pt-BR" sz="1200" b="1" cap="none" spc="0">
                <a:ln w="0"/>
                <a:solidFill>
                  <a:schemeClr val="bg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5. Margem de Contribuição</a:t>
            </a:r>
          </a:p>
        </xdr:txBody>
      </xdr:sp>
      <xdr:pic>
        <xdr:nvPicPr>
          <xdr:cNvPr id="40" name="Imagem 39">
            <a:extLst>
              <a:ext uri="{FF2B5EF4-FFF2-40B4-BE49-F238E27FC236}">
                <a16:creationId xmlns:a16="http://schemas.microsoft.com/office/drawing/2014/main" id="{C3AC0971-9DDC-36E7-2A35-016ECDE864C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91100" y="2095500"/>
            <a:ext cx="474077" cy="177779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63500</xdr:colOff>
      <xdr:row>31</xdr:row>
      <xdr:rowOff>152400</xdr:rowOff>
    </xdr:from>
    <xdr:to>
      <xdr:col>1</xdr:col>
      <xdr:colOff>4902200</xdr:colOff>
      <xdr:row>33</xdr:row>
      <xdr:rowOff>51541</xdr:rowOff>
    </xdr:to>
    <xdr:grpSp>
      <xdr:nvGrpSpPr>
        <xdr:cNvPr id="41" name="Agrupar 40">
          <a:extLst>
            <a:ext uri="{FF2B5EF4-FFF2-40B4-BE49-F238E27FC236}">
              <a16:creationId xmlns:a16="http://schemas.microsoft.com/office/drawing/2014/main" id="{4EDD9FCA-9419-A34A-8A0F-467622CF8D4F}"/>
            </a:ext>
          </a:extLst>
        </xdr:cNvPr>
        <xdr:cNvGrpSpPr/>
      </xdr:nvGrpSpPr>
      <xdr:grpSpPr>
        <a:xfrm>
          <a:off x="63500" y="6921500"/>
          <a:ext cx="5422900" cy="280141"/>
          <a:chOff x="42277" y="2044700"/>
          <a:chExt cx="5422900" cy="280141"/>
        </a:xfrm>
      </xdr:grpSpPr>
      <xdr:sp macro="" textlink="">
        <xdr:nvSpPr>
          <xdr:cNvPr id="42" name="Retângulo 41">
            <a:extLst>
              <a:ext uri="{FF2B5EF4-FFF2-40B4-BE49-F238E27FC236}">
                <a16:creationId xmlns:a16="http://schemas.microsoft.com/office/drawing/2014/main" id="{EFADEAB8-0633-D040-A5D9-D29183142B34}"/>
              </a:ext>
            </a:extLst>
          </xdr:cNvPr>
          <xdr:cNvSpPr/>
        </xdr:nvSpPr>
        <xdr:spPr>
          <a:xfrm>
            <a:off x="562978" y="2082800"/>
            <a:ext cx="4889500" cy="203200"/>
          </a:xfrm>
          <a:prstGeom prst="rect">
            <a:avLst/>
          </a:prstGeom>
          <a:solidFill>
            <a:srgbClr val="C00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3" name="Retângulo 42">
            <a:extLst>
              <a:ext uri="{FF2B5EF4-FFF2-40B4-BE49-F238E27FC236}">
                <a16:creationId xmlns:a16="http://schemas.microsoft.com/office/drawing/2014/main" id="{D45CEB3F-2314-4151-DE80-E1CDC3F28ABD}"/>
              </a:ext>
            </a:extLst>
          </xdr:cNvPr>
          <xdr:cNvSpPr/>
        </xdr:nvSpPr>
        <xdr:spPr>
          <a:xfrm>
            <a:off x="42277" y="2044700"/>
            <a:ext cx="2019300" cy="280141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pt-BR" sz="1200" b="1" cap="none" spc="0">
                <a:ln w="0"/>
                <a:solidFill>
                  <a:schemeClr val="bg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6. Custos Fixos</a:t>
            </a:r>
          </a:p>
        </xdr:txBody>
      </xdr:sp>
      <xdr:pic>
        <xdr:nvPicPr>
          <xdr:cNvPr id="44" name="Imagem 43">
            <a:extLst>
              <a:ext uri="{FF2B5EF4-FFF2-40B4-BE49-F238E27FC236}">
                <a16:creationId xmlns:a16="http://schemas.microsoft.com/office/drawing/2014/main" id="{916937FE-3226-D18B-7D77-F11551D1CF7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91100" y="2095500"/>
            <a:ext cx="474077" cy="177779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279400</xdr:colOff>
      <xdr:row>44</xdr:row>
      <xdr:rowOff>139700</xdr:rowOff>
    </xdr:from>
    <xdr:to>
      <xdr:col>2</xdr:col>
      <xdr:colOff>0</xdr:colOff>
      <xdr:row>46</xdr:row>
      <xdr:rowOff>38841</xdr:rowOff>
    </xdr:to>
    <xdr:grpSp>
      <xdr:nvGrpSpPr>
        <xdr:cNvPr id="45" name="Agrupar 44">
          <a:extLst>
            <a:ext uri="{FF2B5EF4-FFF2-40B4-BE49-F238E27FC236}">
              <a16:creationId xmlns:a16="http://schemas.microsoft.com/office/drawing/2014/main" id="{DE96339B-B525-D74E-AA14-B9BBF7F96F50}"/>
            </a:ext>
          </a:extLst>
        </xdr:cNvPr>
        <xdr:cNvGrpSpPr/>
      </xdr:nvGrpSpPr>
      <xdr:grpSpPr>
        <a:xfrm>
          <a:off x="279400" y="9004300"/>
          <a:ext cx="5219700" cy="280141"/>
          <a:chOff x="245477" y="2044700"/>
          <a:chExt cx="5219700" cy="280141"/>
        </a:xfrm>
      </xdr:grpSpPr>
      <xdr:sp macro="" textlink="">
        <xdr:nvSpPr>
          <xdr:cNvPr id="46" name="Retângulo 45">
            <a:extLst>
              <a:ext uri="{FF2B5EF4-FFF2-40B4-BE49-F238E27FC236}">
                <a16:creationId xmlns:a16="http://schemas.microsoft.com/office/drawing/2014/main" id="{3A5CD9F4-BAEB-3E35-2525-088552E6D248}"/>
              </a:ext>
            </a:extLst>
          </xdr:cNvPr>
          <xdr:cNvSpPr/>
        </xdr:nvSpPr>
        <xdr:spPr>
          <a:xfrm>
            <a:off x="562978" y="2082800"/>
            <a:ext cx="4889500" cy="203200"/>
          </a:xfrm>
          <a:prstGeom prst="rect">
            <a:avLst/>
          </a:prstGeom>
          <a:solidFill>
            <a:srgbClr val="C00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7" name="Retângulo 46">
            <a:extLst>
              <a:ext uri="{FF2B5EF4-FFF2-40B4-BE49-F238E27FC236}">
                <a16:creationId xmlns:a16="http://schemas.microsoft.com/office/drawing/2014/main" id="{655FE588-2248-7B44-CA64-8F4AB8A8FDD9}"/>
              </a:ext>
            </a:extLst>
          </xdr:cNvPr>
          <xdr:cNvSpPr/>
        </xdr:nvSpPr>
        <xdr:spPr>
          <a:xfrm>
            <a:off x="245477" y="2044700"/>
            <a:ext cx="2019300" cy="280141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pt-BR" sz="1200" b="1" cap="none" spc="0">
                <a:ln w="0"/>
                <a:solidFill>
                  <a:schemeClr val="bg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7. Lucro Operacional</a:t>
            </a:r>
          </a:p>
        </xdr:txBody>
      </xdr:sp>
      <xdr:pic>
        <xdr:nvPicPr>
          <xdr:cNvPr id="48" name="Imagem 47">
            <a:extLst>
              <a:ext uri="{FF2B5EF4-FFF2-40B4-BE49-F238E27FC236}">
                <a16:creationId xmlns:a16="http://schemas.microsoft.com/office/drawing/2014/main" id="{C0F24258-3015-A7B1-BF59-52F57D4951F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91100" y="2095500"/>
            <a:ext cx="474077" cy="177779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4406900</xdr:colOff>
      <xdr:row>8</xdr:row>
      <xdr:rowOff>241300</xdr:rowOff>
    </xdr:from>
    <xdr:to>
      <xdr:col>2</xdr:col>
      <xdr:colOff>0</xdr:colOff>
      <xdr:row>9</xdr:row>
      <xdr:rowOff>215900</xdr:rowOff>
    </xdr:to>
    <xdr:pic>
      <xdr:nvPicPr>
        <xdr:cNvPr id="50" name="Imagem 49">
          <a:extLst>
            <a:ext uri="{FF2B5EF4-FFF2-40B4-BE49-F238E27FC236}">
              <a16:creationId xmlns:a16="http://schemas.microsoft.com/office/drawing/2014/main" id="{BC4B19A8-BBC8-534A-B5A0-E36907E84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1663700"/>
          <a:ext cx="508000" cy="228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A65D1-BF27-544B-BAEA-081401F7326E}">
  <dimension ref="D5"/>
  <sheetViews>
    <sheetView showGridLines="0" tabSelected="1" workbookViewId="0">
      <selection activeCell="P28" sqref="P28"/>
    </sheetView>
  </sheetViews>
  <sheetFormatPr baseColWidth="10" defaultRowHeight="16" x14ac:dyDescent="0.2"/>
  <sheetData>
    <row r="5" spans="4:4" x14ac:dyDescent="0.2">
      <c r="D5" s="171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DA532-0F84-DB47-960C-4337961BF274}">
  <dimension ref="B2:X1012"/>
  <sheetViews>
    <sheetView workbookViewId="0">
      <selection activeCell="F21" sqref="F21"/>
    </sheetView>
  </sheetViews>
  <sheetFormatPr baseColWidth="10" defaultColWidth="12.6640625" defaultRowHeight="16" x14ac:dyDescent="0.2"/>
  <cols>
    <col min="1" max="1" width="7.6640625" customWidth="1"/>
    <col min="2" max="2" width="64.5" customWidth="1"/>
    <col min="3" max="3" width="19.33203125" customWidth="1"/>
    <col min="4" max="5" width="7.6640625" customWidth="1"/>
    <col min="8" max="8" width="34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7" customWidth="1"/>
    <col min="20" max="20" width="15" customWidth="1"/>
    <col min="21" max="21" width="15" customWidth="1"/>
    <col min="22" max="22" width="17" customWidth="1"/>
    <col min="23" max="23" width="15" customWidth="1"/>
    <col min="24" max="24" width="17" customWidth="1"/>
  </cols>
  <sheetData>
    <row r="1" ht="16" customHeight="1"/>
    <row r="2" spans="2:24" ht="15" customHeight="1" x14ac:dyDescent="0.2"/>
    <row r="3" spans="2:24" hidden="1" x14ac:dyDescent="0.2" ht="16" customHeight="1">
      <c r="H3" t="inlineStr">
        <is>
          <t xml:space="preserve">Exercício 1 · Indústria de Bicicletas Pedal Sul Ltda. · Custeio pela margem de contribuição</t>
        </is>
      </c>
    </row>
    <row r="4" spans="2:24" ht="46" customHeight="1" thickBot="1" x14ac:dyDescent="0.25"/>
    <row r="5" spans="2:24" ht="17" thickTop="1" x14ac:dyDescent="0.2">
      <c r="H5" s="66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8"/>
    </row>
    <row r="6" spans="2:24" ht="18" x14ac:dyDescent="0.2">
      <c r="B6" s="150"/>
      <c r="C6" s="151"/>
      <c r="D6" s="151"/>
      <c r="H6" s="69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1"/>
    </row>
    <row r="7" spans="2:24" ht="17" thickBot="1" x14ac:dyDescent="0.25">
      <c r="B7" s="152"/>
      <c r="C7" s="153"/>
      <c r="D7" s="153"/>
      <c r="H7" s="7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73"/>
    </row>
    <row r="8" spans="2:24" ht="18" thickTop="1" thickBot="1" x14ac:dyDescent="0.25">
      <c r="B8" s="62" t="s">
        <v>19</v>
      </c>
      <c r="C8" s="37" t="s">
        <v>20</v>
      </c>
      <c r="D8" s="37" t="s">
        <v>14</v>
      </c>
      <c r="E8" s="76"/>
      <c r="F8" s="76"/>
      <c r="G8" s="76"/>
      <c r="H8" s="165" t="s">
        <v>0</v>
      </c>
      <c r="I8" s="167" t="s">
        <v>18</v>
      </c>
      <c r="J8" s="169" t="s">
        <v>1</v>
      </c>
      <c r="K8" s="160" t="s">
        <v>2</v>
      </c>
      <c r="L8" s="161"/>
      <c r="M8" s="162"/>
      <c r="N8" s="160" t="s">
        <v>3</v>
      </c>
      <c r="O8" s="162"/>
      <c r="P8" s="163" t="s">
        <v>4</v>
      </c>
      <c r="Q8" s="160" t="s">
        <v>5</v>
      </c>
      <c r="R8" s="162"/>
      <c r="S8" s="161" t="s">
        <v>6</v>
      </c>
      <c r="T8" s="161"/>
      <c r="U8" s="154" t="s">
        <v>7</v>
      </c>
      <c r="V8" s="156" t="s">
        <v>8</v>
      </c>
      <c r="W8" s="154" t="s">
        <v>9</v>
      </c>
      <c r="X8" s="158" t="s">
        <v>10</v>
      </c>
    </row>
    <row r="9" spans="2:24" ht="17" thickBot="1" x14ac:dyDescent="0.25">
      <c r="B9" s="105"/>
      <c r="C9" s="76"/>
      <c r="D9" s="76"/>
      <c r="E9" s="76"/>
      <c r="F9" s="76"/>
      <c r="G9" s="76"/>
      <c r="H9" s="166"/>
      <c r="I9" s="168"/>
      <c r="J9" s="170"/>
      <c r="K9" s="94" t="s">
        <v>11</v>
      </c>
      <c r="L9" s="95" t="s">
        <v>12</v>
      </c>
      <c r="M9" s="96" t="s">
        <v>13</v>
      </c>
      <c r="N9" s="97" t="s">
        <v>14</v>
      </c>
      <c r="O9" s="98" t="s">
        <v>15</v>
      </c>
      <c r="P9" s="164"/>
      <c r="Q9" s="99" t="s">
        <v>15</v>
      </c>
      <c r="R9" s="100" t="s">
        <v>14</v>
      </c>
      <c r="S9" s="101" t="s">
        <v>15</v>
      </c>
      <c r="T9" s="102" t="s">
        <v>14</v>
      </c>
      <c r="U9" s="155"/>
      <c r="V9" s="157"/>
      <c r="W9" s="155"/>
      <c r="X9" s="159"/>
    </row>
    <row r="10" spans="2:24" ht="18" thickTop="1" thickBot="1" x14ac:dyDescent="0.25">
      <c r="B10" s="103" t="s">
        <v>21</v>
      </c>
      <c r="C10" s="177">
        <v>2400000</v>
      </c>
      <c r="D10" s="172">
        <f>C10/$C$10</f>
        <v>1.0</v>
      </c>
      <c r="E10" s="76"/>
      <c r="F10" s="76"/>
      <c r="G10" s="76"/>
      <c r="H10" s="38" t="inlineStr">
        <is>
          <t xml:space="preserve">A · Mountain bike aro 29</t>
        </is>
      </c>
      <c r="I10" s="184">
        <v>900</v>
      </c>
      <c r="J10" s="185">
        <v>1500</v>
      </c>
      <c r="K10" s="186">
        <v>620</v>
      </c>
      <c r="L10" s="187">
        <f>($C$20-$C$21)/$C$10</f>
        <v>0.09</v>
      </c>
      <c r="M10" s="188">
        <f>J10*L10</f>
        <v>135.0</v>
      </c>
      <c r="N10" s="189">
        <f>$C$12/$C$10</f>
        <v>0.25</v>
      </c>
      <c r="O10" s="190">
        <f>J10*N10</f>
        <v>375.0</v>
      </c>
      <c r="P10" s="191">
        <f>K10+M10+O10</f>
        <v>1130.0</v>
      </c>
      <c r="Q10" s="192">
        <f>J10-P10</f>
        <v>370.0</v>
      </c>
      <c r="R10" s="193">
        <f>Q10/J10</f>
        <v>0.246666666666667</v>
      </c>
      <c r="S10" s="192">
        <f>Q10*I10</f>
        <v>333000.0</v>
      </c>
      <c r="T10" s="193">
        <f>S10/$S$17</f>
        <v>0.525236593059937</v>
      </c>
      <c r="U10" s="194">
        <f>$C$35*T10/I10</f>
        <v>275.165615141956</v>
      </c>
      <c r="V10" s="195">
        <f>(K10+U10)/(1-(L10+N10))</f>
        <v>1356.31153809387</v>
      </c>
      <c r="W10" s="196">
        <v>0.15</v>
      </c>
      <c r="X10" s="197">
        <f>(K10+U10)/(1-(L10+N10+W10))</f>
        <v>1755.22669635678</v>
      </c>
    </row>
    <row r="11" spans="2:24" ht="17" thickBot="1" x14ac:dyDescent="0.25">
      <c r="B11" s="77"/>
      <c r="C11" s="78"/>
      <c r="D11" s="79"/>
      <c r="E11" s="76"/>
      <c r="F11" s="76"/>
      <c r="G11" s="76"/>
      <c r="H11" s="38" t="inlineStr">
        <is>
          <t xml:space="preserve">B · Bicicleta urbana aro 26</t>
        </is>
      </c>
      <c r="I11" s="184">
        <v>1400</v>
      </c>
      <c r="J11" s="185">
        <v>750</v>
      </c>
      <c r="K11" s="186">
        <v>280</v>
      </c>
      <c r="L11" s="187">
        <f>($C$20-$C$21)/$C$10</f>
        <v>0.09</v>
      </c>
      <c r="M11" s="188">
        <f>J11*L11</f>
        <v>67.5</v>
      </c>
      <c r="N11" s="189">
        <f>$C$12/$C$10</f>
        <v>0.25</v>
      </c>
      <c r="O11" s="190">
        <f>J11*N11</f>
        <v>187.5</v>
      </c>
      <c r="P11" s="191">
        <f>K11+M11+O11</f>
        <v>535.0</v>
      </c>
      <c r="Q11" s="192">
        <f>J11-P11</f>
        <v>215.0</v>
      </c>
      <c r="R11" s="193">
        <f>Q11/J11</f>
        <v>0.286666666666667</v>
      </c>
      <c r="S11" s="192">
        <f>Q11*I11</f>
        <v>301000.0</v>
      </c>
      <c r="T11" s="193">
        <f>S11/$S$17</f>
        <v>0.474763406940063</v>
      </c>
      <c r="U11" s="194">
        <f>$C$35*T11/I11</f>
        <v>159.893533123028</v>
      </c>
      <c r="V11" s="195">
        <f>(K11+U11)/(1-(L11+N11))</f>
        <v>666.50535321671</v>
      </c>
      <c r="W11" s="196">
        <v>0.12</v>
      </c>
      <c r="X11" s="197">
        <f>(K11+U11)/(1-(L11+N11+W11))</f>
        <v>814.617653931534</v>
      </c>
    </row>
    <row r="12" spans="2:24" ht="17" thickBot="1" x14ac:dyDescent="0.25">
      <c r="B12" s="118"/>
      <c r="C12" s="177">
        <f>SUM(C13:C19)</f>
        <v>600000.0</v>
      </c>
      <c r="D12" s="173">
        <f>C12/$C$10</f>
        <v>0.25</v>
      </c>
      <c r="E12" s="76"/>
      <c r="F12" s="76"/>
      <c r="G12" s="76"/>
      <c r="H12" s="40"/>
      <c r="I12" s="14"/>
      <c r="J12" s="15"/>
      <c r="K12" s="16"/>
      <c r="L12" s="17"/>
      <c r="M12" s="18"/>
      <c r="N12" s="19"/>
      <c r="O12" s="20"/>
      <c r="P12" s="21"/>
      <c r="Q12" s="22"/>
      <c r="R12" s="23"/>
      <c r="S12" s="22"/>
      <c r="T12" s="23"/>
      <c r="U12" s="24"/>
      <c r="V12" s="24"/>
      <c r="W12" s="24"/>
      <c r="X12" s="41"/>
    </row>
    <row r="13" spans="2:24" x14ac:dyDescent="0.2" ht="16" customHeight="1">
      <c r="B13" s="81" t="inlineStr">
        <is>
          <t xml:space="preserve">Comissão sobre vendas</t>
        </is>
      </c>
      <c r="C13" s="180">
        <v>96000</v>
      </c>
      <c r="D13" s="175">
        <f>C13/$C$10</f>
        <v>0.04</v>
      </c>
      <c r="E13" s="76"/>
      <c r="F13" s="76"/>
      <c r="G13" s="76"/>
      <c r="H13" s="40"/>
      <c r="I13" s="14"/>
      <c r="J13" s="15"/>
      <c r="K13" s="16"/>
      <c r="L13" s="17"/>
      <c r="M13" s="18"/>
      <c r="N13" s="19"/>
      <c r="O13" s="20"/>
      <c r="P13" s="21"/>
      <c r="Q13" s="22"/>
      <c r="R13" s="23"/>
      <c r="S13" s="22"/>
      <c r="T13" s="23"/>
      <c r="U13" s="24"/>
      <c r="V13" s="24"/>
      <c r="W13" s="24"/>
      <c r="X13" s="41"/>
    </row>
    <row r="14" spans="2:24" x14ac:dyDescent="0.2" ht="16" customHeight="1">
      <c r="B14" s="81" t="inlineStr">
        <is>
          <t xml:space="preserve">Despesas com publicidade proporcional às vendas</t>
        </is>
      </c>
      <c r="C14" s="180">
        <v>72000</v>
      </c>
      <c r="D14" s="175">
        <f>C14/$C$10</f>
        <v>0.03</v>
      </c>
      <c r="E14" s="76"/>
      <c r="F14" s="76"/>
      <c r="G14" s="76"/>
      <c r="H14" s="40"/>
      <c r="I14" s="14"/>
      <c r="J14" s="15"/>
      <c r="K14" s="16"/>
      <c r="L14" s="17"/>
      <c r="M14" s="18"/>
      <c r="N14" s="19"/>
      <c r="O14" s="20"/>
      <c r="P14" s="21" t="s">
        <v>16</v>
      </c>
      <c r="Q14" s="22"/>
      <c r="R14" s="23"/>
      <c r="S14" s="22"/>
      <c r="T14" s="23"/>
      <c r="U14" s="24"/>
      <c r="V14" s="24"/>
      <c r="W14" s="24"/>
      <c r="X14" s="41"/>
    </row>
    <row r="15" spans="2:24" x14ac:dyDescent="0.2" ht="16" customHeight="1">
      <c r="B15" s="81" t="inlineStr">
        <is>
          <t xml:space="preserve">Frete de entrega</t>
        </is>
      </c>
      <c r="C15" s="180">
        <v>120000</v>
      </c>
      <c r="D15" s="175">
        <f>C15/$C$10</f>
        <v>0.05</v>
      </c>
      <c r="E15" s="76"/>
      <c r="F15" s="76"/>
      <c r="G15" s="76"/>
      <c r="H15" s="42"/>
      <c r="I15" s="25"/>
      <c r="J15" s="26"/>
      <c r="K15" s="27"/>
      <c r="L15" s="28"/>
      <c r="M15" s="29" t="s">
        <v>16</v>
      </c>
      <c r="N15" s="30"/>
      <c r="O15" s="31"/>
      <c r="P15" s="32"/>
      <c r="Q15" s="33"/>
      <c r="R15" s="29"/>
      <c r="S15" s="33"/>
      <c r="T15" s="29"/>
      <c r="U15" s="34"/>
      <c r="V15" s="34"/>
      <c r="W15" s="34"/>
      <c r="X15" s="43"/>
    </row>
    <row r="16" spans="2:24" ht="17" thickBot="1" x14ac:dyDescent="0.25">
      <c r="B16" s="81" t="inlineStr">
        <is>
          <t xml:space="preserve">Impostos sobre as vendas</t>
        </is>
      </c>
      <c r="C16" s="180">
        <v>312000</v>
      </c>
      <c r="D16" s="175">
        <f>C16/$C$10</f>
        <v>0.13</v>
      </c>
      <c r="E16" s="76"/>
      <c r="F16" s="76"/>
      <c r="G16" s="76"/>
      <c r="H16" s="44"/>
      <c r="I16" s="45"/>
      <c r="J16" s="45"/>
      <c r="K16" s="46"/>
      <c r="L16" s="47" t="s">
        <v>16</v>
      </c>
      <c r="M16" s="48"/>
      <c r="N16" s="49"/>
      <c r="O16" s="50"/>
      <c r="P16" s="51"/>
      <c r="Q16" s="52"/>
      <c r="R16" s="48"/>
      <c r="S16" s="52"/>
      <c r="T16" s="48"/>
      <c r="U16" s="45"/>
      <c r="V16" s="45"/>
      <c r="W16" s="45"/>
      <c r="X16" s="53"/>
    </row>
    <row r="17" spans="2:24" ht="18" thickTop="1" thickBot="1" x14ac:dyDescent="0.25">
      <c r="B17" s="81"/>
      <c r="C17" s="82"/>
      <c r="D17" s="83"/>
      <c r="E17" s="76"/>
      <c r="F17" s="76"/>
      <c r="G17" s="76"/>
      <c r="H17" s="1"/>
      <c r="I17" s="1"/>
      <c r="J17" s="1"/>
      <c r="K17" s="1"/>
      <c r="L17" s="1"/>
      <c r="M17" s="1"/>
      <c r="N17" s="1"/>
      <c r="O17" s="1"/>
      <c r="P17" s="1"/>
      <c r="Q17" s="1"/>
      <c r="R17" s="35" t="s">
        <v>17</v>
      </c>
      <c r="S17" s="198">
        <f>SUM(S10:S16)</f>
        <v>634000.0</v>
      </c>
      <c r="T17" s="199">
        <f>SUM(T10:T16)</f>
        <v>1.0</v>
      </c>
      <c r="U17" s="1"/>
      <c r="V17" s="1"/>
      <c r="W17" s="1"/>
      <c r="X17" s="1"/>
    </row>
    <row r="18" spans="2:24" ht="17" thickTop="1" x14ac:dyDescent="0.2">
      <c r="B18" s="84"/>
      <c r="C18" s="85"/>
      <c r="D18" s="83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</row>
    <row r="19" spans="2:24" ht="17" thickBot="1" x14ac:dyDescent="0.25">
      <c r="B19" s="84"/>
      <c r="C19" s="85"/>
      <c r="D19" s="83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</row>
    <row r="20" spans="2:24" ht="17" thickBot="1" x14ac:dyDescent="0.25">
      <c r="B20" s="119"/>
      <c r="C20" s="177">
        <f>SUM(C21:C30)</f>
        <v>1166000.0</v>
      </c>
      <c r="D20" s="173">
        <f>C20/$C$10</f>
        <v>0.485833333333333</v>
      </c>
      <c r="E20" s="76"/>
      <c r="F20" s="76"/>
      <c r="G20" s="76"/>
      <c r="H20" s="76" t="inlineStr">
        <is>
          <t xml:space="preserve">Conferência: Σ MC total dos produtos − MC do DRE (deve ser 0)</t>
        </is>
      </c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200">
        <f>S17-C33</f>
        <v>0.0</v>
      </c>
      <c r="T20" s="76"/>
      <c r="U20" s="76"/>
      <c r="V20" s="76"/>
      <c r="W20" s="76"/>
      <c r="X20" s="76"/>
    </row>
    <row r="21" spans="2:24" x14ac:dyDescent="0.2" ht="16" customHeight="1">
      <c r="B21" s="81" t="inlineStr">
        <is>
          <t xml:space="preserve">Matéria-prima</t>
        </is>
      </c>
      <c r="C21" s="180">
        <v>950000</v>
      </c>
      <c r="D21" s="175">
        <f>C21/$C$10</f>
        <v>0.395833333333333</v>
      </c>
      <c r="E21" s="76"/>
      <c r="F21" s="76"/>
      <c r="G21" s="76"/>
      <c r="H21" s="76" t="inlineStr">
        <is>
          <t xml:space="preserve">Conferência: Σ vendas × preço − receita (deve ser 0)</t>
        </is>
      </c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200">
        <f>SUMPRODUCT(I10:I16,J10:J16)-C10</f>
        <v>0.0</v>
      </c>
      <c r="T21" s="76"/>
      <c r="U21" s="76"/>
      <c r="V21" s="76"/>
      <c r="W21" s="76"/>
      <c r="X21" s="76"/>
    </row>
    <row r="22" spans="2:24" x14ac:dyDescent="0.2" ht="16" customHeight="1">
      <c r="B22" s="81" t="inlineStr">
        <is>
          <t xml:space="preserve">Energia elétrica da fábrica</t>
        </is>
      </c>
      <c r="C22" s="180">
        <v>72000</v>
      </c>
      <c r="D22" s="175">
        <f>C22/$C$10</f>
        <v>0.03</v>
      </c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</row>
    <row r="23" spans="2:24" x14ac:dyDescent="0.2" ht="16" customHeight="1">
      <c r="B23" s="81" t="inlineStr">
        <is>
          <t xml:space="preserve">Fretes sobre compras de quadros e componentes</t>
        </is>
      </c>
      <c r="C23" s="181">
        <v>60000</v>
      </c>
      <c r="D23" s="175">
        <f>C23/$C$10</f>
        <v>0.025</v>
      </c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</row>
    <row r="24" spans="2:24" x14ac:dyDescent="0.2" ht="16" customHeight="1">
      <c r="B24" s="81" t="inlineStr">
        <is>
          <t xml:space="preserve">Gastos gerais com fabricação do produto</t>
        </is>
      </c>
      <c r="C24" s="182">
        <v>48000</v>
      </c>
      <c r="D24" s="176">
        <f>C24/$C$10</f>
        <v>0.02</v>
      </c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</row>
    <row r="25" spans="2:24" x14ac:dyDescent="0.2" ht="16" customHeight="1">
      <c r="B25" s="81" t="inlineStr">
        <is>
          <t xml:space="preserve">Manutenção de máquinas e equipamentos da produção</t>
        </is>
      </c>
      <c r="C25" s="182">
        <v>36000</v>
      </c>
      <c r="D25" s="176">
        <f>C25/$C$10</f>
        <v>0.015</v>
      </c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</row>
    <row r="26" spans="2:24" x14ac:dyDescent="0.2" ht="16" customHeight="1">
      <c r="B26" s="125"/>
      <c r="C26" s="124"/>
      <c r="D26" s="120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</row>
    <row r="27" spans="2:24" x14ac:dyDescent="0.2" ht="16" customHeight="1">
      <c r="B27" s="81"/>
      <c r="C27" s="82"/>
      <c r="D27" s="8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</row>
    <row r="28" spans="2:24" x14ac:dyDescent="0.2" ht="16" customHeight="1">
      <c r="B28" s="84"/>
      <c r="C28" s="85"/>
      <c r="D28" s="8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</row>
    <row r="29" spans="2:24" ht="15.75" customHeight="1" x14ac:dyDescent="0.2">
      <c r="B29" s="84"/>
      <c r="C29" s="85"/>
      <c r="D29" s="8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</row>
    <row r="30" spans="2:24" ht="15.75" customHeight="1" thickBot="1" x14ac:dyDescent="0.25">
      <c r="B30" s="84"/>
      <c r="C30" s="87"/>
      <c r="D30" s="83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</row>
    <row r="31" spans="2:24" ht="15.75" customHeight="1" thickBot="1" x14ac:dyDescent="0.25">
      <c r="B31" s="119"/>
      <c r="C31" s="177">
        <f>C12+C20</f>
        <v>1766000.0</v>
      </c>
      <c r="D31" s="173">
        <f>C31/$C$10</f>
        <v>0.735833333333333</v>
      </c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</row>
    <row r="32" spans="2:24" ht="15.75" customHeight="1" thickBot="1" x14ac:dyDescent="0.25">
      <c r="B32" s="88"/>
      <c r="C32" s="87"/>
      <c r="D32" s="89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</row>
    <row r="33" spans="2:24" ht="15.75" customHeight="1" thickBot="1" x14ac:dyDescent="0.25">
      <c r="B33" s="119"/>
      <c r="C33" s="177">
        <f>C10-C31</f>
        <v>634000.0</v>
      </c>
      <c r="D33" s="173">
        <f>C33/$C$10</f>
        <v>0.264166666666667</v>
      </c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</row>
    <row r="34" spans="2:24" ht="15.75" customHeight="1" thickBot="1" x14ac:dyDescent="0.25">
      <c r="B34" s="77"/>
      <c r="C34" s="78"/>
      <c r="D34" s="79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</row>
    <row r="35" spans="2:24" ht="15.75" customHeight="1" thickBot="1" x14ac:dyDescent="0.25">
      <c r="B35" s="119"/>
      <c r="C35" s="178">
        <f>SUM(C36:C47)</f>
        <v>471500.0</v>
      </c>
      <c r="D35" s="173">
        <f>C35/$C$10</f>
        <v>0.196458333333333</v>
      </c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</row>
    <row r="36" spans="2:24" ht="15.75" customHeight="1" x14ac:dyDescent="0.2">
      <c r="B36" s="84" t="inlineStr">
        <is>
          <t xml:space="preserve">Água utilizada na administração</t>
        </is>
      </c>
      <c r="C36" s="183">
        <v>1200</v>
      </c>
      <c r="D36" s="175">
        <f>C36/$C$10</f>
        <v>0.0005</v>
      </c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</row>
    <row r="37" spans="2:24" ht="15.75" customHeight="1" x14ac:dyDescent="0.2">
      <c r="B37" s="84" t="inlineStr">
        <is>
          <t xml:space="preserve">Aluguel do galpão</t>
        </is>
      </c>
      <c r="C37" s="183">
        <v>45000</v>
      </c>
      <c r="D37" s="175">
        <f>C37/$C$10</f>
        <v>0.01875</v>
      </c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</row>
    <row r="38" spans="2:24" ht="15.75" customHeight="1" x14ac:dyDescent="0.2">
      <c r="B38" s="84" t="inlineStr">
        <is>
          <t xml:space="preserve">Depreciação de equipamentos</t>
        </is>
      </c>
      <c r="C38" s="183">
        <v>52000</v>
      </c>
      <c r="D38" s="175">
        <f>C38/$C$10</f>
        <v>0.0216666666666667</v>
      </c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</row>
    <row r="39" spans="2:24" ht="15.75" customHeight="1" x14ac:dyDescent="0.2">
      <c r="B39" s="84" t="inlineStr">
        <is>
          <t xml:space="preserve">Honorários contábeis</t>
        </is>
      </c>
      <c r="C39" s="183">
        <v>7000</v>
      </c>
      <c r="D39" s="175">
        <f>C39/$C$10</f>
        <v>0.00291666666666667</v>
      </c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</row>
    <row r="40" spans="2:24" ht="15.75" customHeight="1" x14ac:dyDescent="0.2">
      <c r="B40" s="84" t="inlineStr">
        <is>
          <t xml:space="preserve">Manutenção de equipamentos de escritório</t>
        </is>
      </c>
      <c r="C40" s="183">
        <v>3000</v>
      </c>
      <c r="D40" s="175">
        <f>C40/$C$10</f>
        <v>0.00125</v>
      </c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</row>
    <row r="41" spans="2:24" ht="15.75" customHeight="1" x14ac:dyDescent="0.2">
      <c r="B41" s="84" t="inlineStr">
        <is>
          <t xml:space="preserve">Material de limpeza</t>
        </is>
      </c>
      <c r="C41" s="183">
        <v>2300</v>
      </c>
      <c r="D41" s="175">
        <f>C41/$C$10</f>
        <v>0.000958333333333333</v>
      </c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</row>
    <row r="42" spans="2:24" ht="15.75" customHeight="1" x14ac:dyDescent="0.2">
      <c r="B42" s="84" t="inlineStr">
        <is>
          <t xml:space="preserve">Pró-labore</t>
        </is>
      </c>
      <c r="C42" s="183">
        <v>40000</v>
      </c>
      <c r="D42" s="175">
        <f>C42/$C$10</f>
        <v>0.0166666666666667</v>
      </c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</row>
    <row r="43" spans="2:24" ht="15.75" customHeight="1" x14ac:dyDescent="0.2">
      <c r="B43" s="84" t="inlineStr">
        <is>
          <t xml:space="preserve">Salários</t>
        </is>
      </c>
      <c r="C43" s="183">
        <v>280000</v>
      </c>
      <c r="D43" s="175">
        <f>C43/$C$10</f>
        <v>0.116666666666667</v>
      </c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</row>
    <row r="44" spans="2:24" ht="15.75" customHeight="1" x14ac:dyDescent="0.2">
      <c r="B44" s="84" t="inlineStr">
        <is>
          <t xml:space="preserve">Seguros</t>
        </is>
      </c>
      <c r="C44" s="183">
        <v>9000</v>
      </c>
      <c r="D44" s="175">
        <f>C44/$C$10</f>
        <v>0.00375</v>
      </c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</row>
    <row r="45" spans="2:24" ht="15.75" customHeight="1" thickBot="1" x14ac:dyDescent="0.25">
      <c r="B45" s="84" t="inlineStr">
        <is>
          <t xml:space="preserve">Suprimentos para escritório</t>
        </is>
      </c>
      <c r="C45" s="183">
        <v>4500</v>
      </c>
      <c r="D45" s="175">
        <f>C45/$C$10</f>
        <v>0.001875</v>
      </c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</row>
    <row r="46" spans="2:24" ht="15.75" customHeight="1" thickBot="1" x14ac:dyDescent="0.25">
      <c r="B46" s="84" t="inlineStr">
        <is>
          <t xml:space="preserve">Telefone e internet</t>
        </is>
      </c>
      <c r="C46" s="183">
        <v>3500</v>
      </c>
      <c r="D46" s="175">
        <f>C46/$C$10</f>
        <v>0.00145833333333333</v>
      </c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</row>
    <row r="47" spans="2:24" ht="15.75" customHeight="1" thickBot="1" x14ac:dyDescent="0.25">
      <c r="B47" s="84" t="inlineStr">
        <is>
          <t xml:space="preserve">Vale-refeição</t>
        </is>
      </c>
      <c r="C47" s="183">
        <v>24000</v>
      </c>
      <c r="D47" s="175">
        <f>C47/$C$10</f>
        <v>0.01</v>
      </c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</row>
    <row r="48" spans="2:24" ht="15.75" customHeight="1" thickBot="1" x14ac:dyDescent="0.25">
      <c r="B48" s="119"/>
      <c r="C48" s="179">
        <f>C33-C35</f>
        <v>162500.0</v>
      </c>
      <c r="D48" s="174">
        <f>C48/$C$10</f>
        <v>0.0677083333333333</v>
      </c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</row>
    <row r="49" spans="2:24" ht="15.75" customHeight="1" x14ac:dyDescent="0.2"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</row>
    <row r="50" spans="2:24" ht="15.75" customHeight="1" x14ac:dyDescent="0.2"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</row>
    <row r="51" spans="5:24" ht="15.75" customHeight="1" x14ac:dyDescent="0.2"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</row>
    <row r="52" spans="5:24" ht="15.75" customHeight="1" x14ac:dyDescent="0.2"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</row>
    <row r="53" spans="5:24" ht="15.75" customHeight="1" x14ac:dyDescent="0.2"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</row>
    <row r="54" spans="5:24" ht="15.75" customHeight="1" x14ac:dyDescent="0.2"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</row>
    <row r="55" spans="5:24" ht="15.75" customHeight="1" x14ac:dyDescent="0.2"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</row>
    <row r="56" spans="5:24" ht="15.75" customHeight="1" x14ac:dyDescent="0.2"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</row>
    <row r="57" spans="5:24" ht="15.75" customHeight="1" x14ac:dyDescent="0.2"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</row>
    <row r="58" spans="5:24" ht="15.75" customHeight="1" x14ac:dyDescent="0.2"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</row>
    <row r="59" spans="5:24" ht="15.75" customHeight="1" x14ac:dyDescent="0.2"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</row>
    <row r="60" spans="5:24" ht="15.75" customHeight="1" x14ac:dyDescent="0.2"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</row>
    <row r="61" spans="5:24" ht="15.75" customHeight="1" x14ac:dyDescent="0.2"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</row>
    <row r="62" spans="5:24" ht="15.75" customHeight="1" x14ac:dyDescent="0.2"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</row>
    <row r="63" spans="5:24" ht="15.75" customHeight="1" x14ac:dyDescent="0.2"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</row>
    <row r="64" spans="5:24" ht="15.75" customHeight="1" x14ac:dyDescent="0.2"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</row>
    <row r="65" spans="5:24" ht="15.75" customHeight="1" x14ac:dyDescent="0.2"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</row>
    <row r="66" spans="5:24" ht="15.75" customHeight="1" x14ac:dyDescent="0.2"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</row>
    <row r="67" spans="5:24" ht="15.75" customHeight="1" x14ac:dyDescent="0.2"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</row>
    <row r="68" spans="5:24" ht="15.75" customHeight="1" x14ac:dyDescent="0.2"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</row>
    <row r="69" spans="5:24" ht="15.75" customHeight="1" x14ac:dyDescent="0.2"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</row>
    <row r="70" spans="5:24" ht="15.75" customHeight="1" x14ac:dyDescent="0.2"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</row>
    <row r="71" spans="5:24" ht="15.75" customHeight="1" x14ac:dyDescent="0.2"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</row>
    <row r="72" spans="5:24" ht="15.75" customHeight="1" x14ac:dyDescent="0.2"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</row>
    <row r="73" spans="5:24" ht="15.75" customHeight="1" x14ac:dyDescent="0.2"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</row>
    <row r="74" spans="5:24" ht="15.75" customHeight="1" x14ac:dyDescent="0.2"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</row>
    <row r="75" spans="5:24" ht="15.75" customHeight="1" x14ac:dyDescent="0.2"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</row>
    <row r="76" spans="5:24" ht="15.75" customHeight="1" x14ac:dyDescent="0.2"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</row>
    <row r="77" spans="5:24" ht="15.75" customHeight="1" x14ac:dyDescent="0.2"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</row>
    <row r="78" spans="5:24" ht="15.75" customHeight="1" x14ac:dyDescent="0.2"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</row>
    <row r="79" spans="5:24" ht="15.75" customHeight="1" x14ac:dyDescent="0.2"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</row>
    <row r="80" spans="5:24" ht="15.75" customHeight="1" x14ac:dyDescent="0.2"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</row>
    <row r="81" spans="5:24" ht="15.75" customHeight="1" x14ac:dyDescent="0.2"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</row>
    <row r="82" spans="5:24" ht="15.75" customHeight="1" x14ac:dyDescent="0.2"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</row>
    <row r="83" spans="5:24" ht="15.75" customHeight="1" x14ac:dyDescent="0.2"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</row>
    <row r="84" spans="5:24" ht="15.75" customHeight="1" x14ac:dyDescent="0.2"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</row>
    <row r="85" spans="5:24" ht="15.75" customHeight="1" x14ac:dyDescent="0.2"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</row>
    <row r="86" spans="5:24" ht="15.75" customHeight="1" x14ac:dyDescent="0.2"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</row>
    <row r="87" spans="5:24" ht="15.75" customHeight="1" x14ac:dyDescent="0.2"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</row>
    <row r="88" spans="5:24" ht="15.75" customHeight="1" x14ac:dyDescent="0.2"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</row>
    <row r="89" spans="5:24" ht="15.75" customHeight="1" x14ac:dyDescent="0.2"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</row>
    <row r="90" spans="5:24" ht="15.75" customHeight="1" x14ac:dyDescent="0.2"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</row>
    <row r="91" spans="5:24" ht="15.75" customHeight="1" x14ac:dyDescent="0.2"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</row>
    <row r="92" spans="5:24" ht="15.75" customHeight="1" x14ac:dyDescent="0.2"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</row>
    <row r="93" spans="5:24" ht="15.75" customHeight="1" x14ac:dyDescent="0.2"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</row>
    <row r="94" spans="5:24" ht="15.75" customHeight="1" x14ac:dyDescent="0.2"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</row>
    <row r="95" spans="5:24" ht="15.75" customHeight="1" x14ac:dyDescent="0.2"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</row>
    <row r="96" spans="5:24" ht="15.75" customHeight="1" x14ac:dyDescent="0.2"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</row>
    <row r="97" spans="5:24" ht="15.75" customHeight="1" x14ac:dyDescent="0.2"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</row>
    <row r="98" spans="5:24" ht="15.75" customHeight="1" x14ac:dyDescent="0.2"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</row>
    <row r="99" spans="5:24" ht="15.75" customHeight="1" x14ac:dyDescent="0.2"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</row>
    <row r="100" spans="5:24" ht="15.75" customHeight="1" x14ac:dyDescent="0.2"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</row>
    <row r="101" spans="5:24" ht="15.75" customHeight="1" x14ac:dyDescent="0.2"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</row>
    <row r="102" spans="5:24" ht="15.75" customHeight="1" x14ac:dyDescent="0.2"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</row>
    <row r="103" spans="5:24" ht="15.75" customHeight="1" x14ac:dyDescent="0.2"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</row>
    <row r="104" spans="5:24" ht="15.75" customHeight="1" x14ac:dyDescent="0.2"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</row>
    <row r="105" spans="5:24" ht="15.75" customHeight="1" x14ac:dyDescent="0.2"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</row>
    <row r="106" spans="5:24" ht="15.75" customHeight="1" x14ac:dyDescent="0.2"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</row>
    <row r="107" spans="5:24" ht="15.75" customHeight="1" x14ac:dyDescent="0.2"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</row>
    <row r="108" spans="5:24" ht="15.75" customHeight="1" x14ac:dyDescent="0.2"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</row>
    <row r="109" spans="5:24" ht="15.75" customHeight="1" x14ac:dyDescent="0.2"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</row>
    <row r="110" spans="5:24" ht="15.75" customHeight="1" x14ac:dyDescent="0.2"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</row>
    <row r="111" spans="5:24" ht="15.75" customHeight="1" x14ac:dyDescent="0.2"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</row>
    <row r="112" spans="5:24" ht="15.75" customHeight="1" x14ac:dyDescent="0.2"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</row>
    <row r="113" spans="5:24" ht="15.75" customHeight="1" x14ac:dyDescent="0.2"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</row>
    <row r="114" spans="5:24" ht="15.75" customHeight="1" x14ac:dyDescent="0.2"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</row>
    <row r="115" spans="2:24" ht="15.75" customHeight="1" x14ac:dyDescent="0.2"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</row>
    <row r="116" spans="2:24" ht="15.75" customHeight="1" x14ac:dyDescent="0.2"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</row>
    <row r="117" spans="2:24" ht="15.75" customHeight="1" x14ac:dyDescent="0.2"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</row>
    <row r="118" spans="2:24" ht="15.75" customHeight="1" x14ac:dyDescent="0.2"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</row>
    <row r="119" spans="2:24" ht="15.75" customHeight="1" x14ac:dyDescent="0.2"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</row>
    <row r="120" spans="2:24" ht="15.75" customHeight="1" x14ac:dyDescent="0.2"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</row>
    <row r="121" spans="2:24" ht="15.75" customHeight="1" x14ac:dyDescent="0.2"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</row>
    <row r="122" spans="2:24" ht="15.75" customHeight="1" x14ac:dyDescent="0.2"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</row>
    <row r="123" spans="2:24" ht="15.75" customHeight="1" x14ac:dyDescent="0.2"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</row>
    <row r="124" spans="2:24" ht="15.75" customHeight="1" x14ac:dyDescent="0.2"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</row>
    <row r="125" spans="2:24" ht="15.75" customHeight="1" x14ac:dyDescent="0.2"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</row>
    <row r="126" spans="2:24" ht="15.75" customHeight="1" x14ac:dyDescent="0.2"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</row>
    <row r="127" spans="2:24" ht="15.75" customHeight="1" x14ac:dyDescent="0.2"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</row>
    <row r="128" spans="2:24" ht="15.75" customHeight="1" x14ac:dyDescent="0.2"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</row>
    <row r="129" spans="2:24" ht="15.75" customHeight="1" x14ac:dyDescent="0.2"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</row>
    <row r="130" spans="2:24" ht="15.75" customHeight="1" x14ac:dyDescent="0.2"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</row>
    <row r="131" spans="2:24" ht="15.75" customHeight="1" x14ac:dyDescent="0.2"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</row>
    <row r="132" spans="2:24" ht="15.75" customHeight="1" x14ac:dyDescent="0.2"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</row>
    <row r="133" spans="2:24" ht="15.75" customHeight="1" x14ac:dyDescent="0.2"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</row>
    <row r="134" spans="2:24" ht="15.75" customHeight="1" x14ac:dyDescent="0.2"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</row>
    <row r="135" spans="2:24" ht="15.75" customHeight="1" x14ac:dyDescent="0.2"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</row>
    <row r="136" spans="2:24" ht="15.75" customHeight="1" x14ac:dyDescent="0.2"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</row>
    <row r="137" spans="2:24" ht="15.75" customHeight="1" x14ac:dyDescent="0.2"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</row>
    <row r="138" spans="2:24" ht="15.75" customHeight="1" x14ac:dyDescent="0.2"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</row>
    <row r="139" spans="2:24" ht="15.75" customHeight="1" x14ac:dyDescent="0.2"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</row>
    <row r="140" spans="2:24" ht="15.75" customHeight="1" x14ac:dyDescent="0.2"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</row>
    <row r="141" spans="2:24" ht="15.75" customHeight="1" x14ac:dyDescent="0.2"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</row>
    <row r="142" spans="2:24" ht="15.75" customHeight="1" x14ac:dyDescent="0.2"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</row>
    <row r="143" spans="2:24" ht="15.75" customHeight="1" x14ac:dyDescent="0.2"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</row>
    <row r="144" spans="2:24" ht="15.75" customHeight="1" x14ac:dyDescent="0.2"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</row>
    <row r="145" spans="2:24" ht="15.75" customHeight="1" x14ac:dyDescent="0.2"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</row>
    <row r="146" spans="2:24" ht="15.75" customHeight="1" x14ac:dyDescent="0.2"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</row>
    <row r="147" spans="2:24" ht="15.75" customHeight="1" x14ac:dyDescent="0.2"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</row>
    <row r="148" spans="2:24" ht="15.75" customHeight="1" x14ac:dyDescent="0.2"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</row>
    <row r="149" spans="2:24" ht="15.75" customHeight="1" x14ac:dyDescent="0.2"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</row>
    <row r="150" spans="2:24" ht="15.75" customHeight="1" x14ac:dyDescent="0.2"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</row>
    <row r="151" spans="2:24" ht="15.75" customHeight="1" x14ac:dyDescent="0.2"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</row>
    <row r="152" spans="2:24" ht="15.75" customHeight="1" x14ac:dyDescent="0.2"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</row>
    <row r="153" spans="2:24" ht="15.75" customHeight="1" x14ac:dyDescent="0.2"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</row>
    <row r="154" spans="2:24" ht="15.75" customHeight="1" x14ac:dyDescent="0.2"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</row>
    <row r="155" spans="2:24" ht="15.75" customHeight="1" x14ac:dyDescent="0.2"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</row>
    <row r="156" spans="2:24" ht="15.75" customHeight="1" x14ac:dyDescent="0.2"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</row>
    <row r="157" spans="2:24" ht="15.75" customHeight="1" x14ac:dyDescent="0.2"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</row>
    <row r="158" spans="2:24" ht="15.75" customHeight="1" x14ac:dyDescent="0.2"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</row>
    <row r="159" spans="2:24" ht="15.75" customHeight="1" x14ac:dyDescent="0.2"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</row>
    <row r="160" spans="2:24" ht="15.75" customHeight="1" x14ac:dyDescent="0.2"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</row>
    <row r="161" spans="2:24" ht="15.75" customHeight="1" x14ac:dyDescent="0.2"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</row>
    <row r="162" spans="2:24" ht="15.75" customHeight="1" x14ac:dyDescent="0.2"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</row>
    <row r="163" spans="2:24" ht="15.75" customHeight="1" x14ac:dyDescent="0.2"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</row>
    <row r="164" spans="2:24" ht="15.75" customHeight="1" x14ac:dyDescent="0.2"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</row>
    <row r="165" spans="2:24" ht="15.75" customHeight="1" x14ac:dyDescent="0.2"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</row>
    <row r="166" spans="2:24" ht="15.75" customHeight="1" x14ac:dyDescent="0.2"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</row>
    <row r="167" spans="2:24" ht="15.75" customHeight="1" x14ac:dyDescent="0.2"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</row>
    <row r="168" spans="2:24" ht="15.75" customHeight="1" x14ac:dyDescent="0.2"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</row>
    <row r="169" spans="2:24" ht="15.75" customHeight="1" x14ac:dyDescent="0.2"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</row>
    <row r="170" spans="2:24" ht="15.75" customHeight="1" x14ac:dyDescent="0.2"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</row>
    <row r="171" spans="2:24" ht="15.75" customHeight="1" x14ac:dyDescent="0.2"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</row>
    <row r="172" spans="2:24" ht="15.75" customHeight="1" x14ac:dyDescent="0.2"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</row>
    <row r="173" spans="2:24" ht="15.75" customHeight="1" x14ac:dyDescent="0.2"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</row>
    <row r="174" spans="2:24" ht="15.75" customHeight="1" x14ac:dyDescent="0.2"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</row>
    <row r="175" spans="2:24" ht="15.75" customHeight="1" x14ac:dyDescent="0.2"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</row>
    <row r="176" spans="2:24" ht="15.75" customHeight="1" x14ac:dyDescent="0.2"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</row>
    <row r="177" spans="2:24" ht="15.75" customHeight="1" x14ac:dyDescent="0.2"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</row>
    <row r="178" spans="2:24" ht="15.75" customHeight="1" x14ac:dyDescent="0.2"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</row>
    <row r="179" spans="2:24" ht="15.75" customHeight="1" x14ac:dyDescent="0.2"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</row>
    <row r="180" spans="2:24" ht="15.75" customHeight="1" x14ac:dyDescent="0.2"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</row>
    <row r="181" spans="2:24" ht="15.75" customHeight="1" x14ac:dyDescent="0.2"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</row>
    <row r="182" spans="2:24" ht="15.75" customHeight="1" x14ac:dyDescent="0.2"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</row>
    <row r="183" spans="2:24" ht="15.75" customHeight="1" x14ac:dyDescent="0.2"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</row>
    <row r="184" spans="2:24" ht="15.75" customHeight="1" x14ac:dyDescent="0.2"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</row>
    <row r="185" spans="2:24" ht="15.75" customHeight="1" x14ac:dyDescent="0.2"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</row>
    <row r="186" spans="2:24" ht="15.75" customHeight="1" x14ac:dyDescent="0.2"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</row>
    <row r="187" spans="2:24" ht="15.75" customHeight="1" x14ac:dyDescent="0.2"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</row>
    <row r="188" spans="2:24" ht="15.75" customHeight="1" x14ac:dyDescent="0.2"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</row>
    <row r="189" spans="2:24" ht="15.75" customHeight="1" x14ac:dyDescent="0.2"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</row>
    <row r="190" spans="2:24" ht="15.75" customHeight="1" x14ac:dyDescent="0.2"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</row>
    <row r="191" spans="2:24" ht="15.75" customHeight="1" x14ac:dyDescent="0.2"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</row>
    <row r="192" spans="2:24" ht="15.75" customHeight="1" x14ac:dyDescent="0.2"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</row>
    <row r="193" spans="2:24" ht="15.75" customHeight="1" x14ac:dyDescent="0.2"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</row>
    <row r="194" spans="2:24" ht="15.75" customHeight="1" x14ac:dyDescent="0.2"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</row>
    <row r="195" spans="2:24" ht="15.75" customHeight="1" x14ac:dyDescent="0.2"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</row>
    <row r="196" spans="2:24" ht="15.75" customHeight="1" x14ac:dyDescent="0.2"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</row>
    <row r="197" spans="2:24" ht="15.75" customHeight="1" x14ac:dyDescent="0.2"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</row>
    <row r="198" spans="2:24" ht="15.75" customHeight="1" x14ac:dyDescent="0.2"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</row>
    <row r="199" spans="2:24" ht="15.75" customHeight="1" x14ac:dyDescent="0.2"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</row>
    <row r="200" spans="2:24" ht="15.75" customHeight="1" x14ac:dyDescent="0.2"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</row>
    <row r="201" spans="2:24" ht="15.75" customHeight="1" x14ac:dyDescent="0.2"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</row>
    <row r="202" spans="2:24" ht="15.75" customHeight="1" x14ac:dyDescent="0.2"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</row>
    <row r="203" spans="2:24" ht="15.75" customHeight="1" x14ac:dyDescent="0.2"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</row>
    <row r="204" spans="2:24" ht="15.75" customHeight="1" x14ac:dyDescent="0.2"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</row>
    <row r="205" spans="2:24" ht="15.75" customHeight="1" x14ac:dyDescent="0.2"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</row>
    <row r="206" spans="2:24" ht="15.75" customHeight="1" x14ac:dyDescent="0.2"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</row>
    <row r="207" spans="2:24" ht="15.75" customHeight="1" x14ac:dyDescent="0.2"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</row>
    <row r="208" spans="2:24" ht="15.75" customHeight="1" x14ac:dyDescent="0.2"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</row>
    <row r="209" spans="2:24" ht="15.75" customHeight="1" x14ac:dyDescent="0.2"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</row>
    <row r="210" spans="2:24" ht="15.75" customHeight="1" x14ac:dyDescent="0.2"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</row>
    <row r="211" spans="2:24" ht="15.75" customHeight="1" x14ac:dyDescent="0.2"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</row>
    <row r="212" spans="2:24" ht="15.75" customHeight="1" x14ac:dyDescent="0.2"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</row>
    <row r="213" spans="2:24" ht="15.75" customHeight="1" x14ac:dyDescent="0.2"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</row>
    <row r="214" spans="2:24" ht="15.75" customHeight="1" x14ac:dyDescent="0.2"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</row>
    <row r="215" spans="2:24" ht="15.75" customHeight="1" x14ac:dyDescent="0.2"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</row>
    <row r="216" spans="2:24" ht="15.75" customHeight="1" x14ac:dyDescent="0.2"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</row>
    <row r="217" spans="2:24" ht="15.75" customHeight="1" x14ac:dyDescent="0.2"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</row>
    <row r="218" spans="2:24" ht="15.75" customHeight="1" x14ac:dyDescent="0.2"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</row>
    <row r="219" spans="2:24" ht="15.75" customHeight="1" x14ac:dyDescent="0.2"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</row>
    <row r="220" spans="2:24" ht="15.75" customHeight="1" x14ac:dyDescent="0.2"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</row>
    <row r="221" spans="2:24" ht="15.75" customHeight="1" x14ac:dyDescent="0.2"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</row>
    <row r="222" spans="2:24" ht="15.75" customHeight="1" x14ac:dyDescent="0.2"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</row>
    <row r="223" spans="2:24" ht="15.75" customHeight="1" x14ac:dyDescent="0.2"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</row>
    <row r="224" spans="2:24" ht="15.75" customHeight="1" x14ac:dyDescent="0.2"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</row>
    <row r="225" spans="2:24" ht="15.75" customHeight="1" x14ac:dyDescent="0.2"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</row>
    <row r="226" spans="2:24" ht="15.75" customHeight="1" x14ac:dyDescent="0.2"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</row>
    <row r="227" spans="2:24" ht="15.75" customHeight="1" x14ac:dyDescent="0.2"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</row>
    <row r="228" spans="2:24" ht="15.75" customHeight="1" x14ac:dyDescent="0.2"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</row>
    <row r="229" spans="2:24" ht="15.75" customHeight="1" x14ac:dyDescent="0.2"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</row>
    <row r="230" spans="2:24" ht="15.75" customHeight="1" x14ac:dyDescent="0.2"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</row>
    <row r="231" spans="2:24" ht="15.75" customHeight="1" x14ac:dyDescent="0.2"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</row>
    <row r="232" spans="2:24" ht="15.75" customHeight="1" x14ac:dyDescent="0.2"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</row>
    <row r="233" spans="2:24" ht="15.75" customHeight="1" x14ac:dyDescent="0.2"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</row>
    <row r="234" spans="2:24" ht="15.75" customHeight="1" x14ac:dyDescent="0.2"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</row>
    <row r="235" spans="2:24" ht="15.75" customHeight="1" x14ac:dyDescent="0.2"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</row>
    <row r="236" spans="2:24" ht="15.75" customHeight="1" x14ac:dyDescent="0.2"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</row>
    <row r="237" spans="2:24" ht="15.75" customHeight="1" x14ac:dyDescent="0.2"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</row>
    <row r="238" spans="2:24" ht="15.75" customHeight="1" x14ac:dyDescent="0.2"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</row>
    <row r="239" spans="2:24" ht="15.75" customHeight="1" x14ac:dyDescent="0.2"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</row>
    <row r="240" spans="2:24" ht="15.75" customHeight="1" x14ac:dyDescent="0.2"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</row>
    <row r="241" spans="2:24" ht="15.75" customHeight="1" x14ac:dyDescent="0.2"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</row>
    <row r="242" spans="2:24" ht="15.75" customHeight="1" x14ac:dyDescent="0.2"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</row>
    <row r="243" spans="2:24" ht="15.75" customHeight="1" x14ac:dyDescent="0.2"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</row>
    <row r="244" spans="2:24" ht="15.75" customHeight="1" x14ac:dyDescent="0.2"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</row>
    <row r="245" spans="2:24" ht="15.75" customHeight="1" x14ac:dyDescent="0.2"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</row>
    <row r="246" spans="2:24" ht="15.75" customHeight="1" x14ac:dyDescent="0.2"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</row>
    <row r="247" spans="2:24" ht="15.75" customHeight="1" x14ac:dyDescent="0.2"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</row>
    <row r="248" spans="2:24" ht="15.75" customHeight="1" x14ac:dyDescent="0.2"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</row>
    <row r="249" spans="2:24" ht="15.75" customHeight="1" x14ac:dyDescent="0.2"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</row>
    <row r="250" spans="2:24" ht="15.75" customHeight="1" x14ac:dyDescent="0.2"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</row>
    <row r="251" spans="2:24" ht="15.75" customHeight="1" x14ac:dyDescent="0.2"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</row>
    <row r="252" spans="2:24" ht="15.75" customHeight="1" x14ac:dyDescent="0.2"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</row>
    <row r="253" spans="2:24" ht="15.75" customHeight="1" x14ac:dyDescent="0.2"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</row>
    <row r="254" spans="2:24" ht="15.75" customHeight="1" x14ac:dyDescent="0.2"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</row>
    <row r="255" spans="2:24" ht="15.75" customHeight="1" x14ac:dyDescent="0.2"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</row>
    <row r="256" spans="2:24" ht="15.75" customHeight="1" x14ac:dyDescent="0.2"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</row>
    <row r="257" spans="2:24" ht="15.75" customHeight="1" x14ac:dyDescent="0.2"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</row>
    <row r="258" spans="2:24" ht="15.75" customHeight="1" x14ac:dyDescent="0.2"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</row>
    <row r="259" spans="2:24" ht="15.75" customHeight="1" x14ac:dyDescent="0.2"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</row>
    <row r="260" spans="2:24" ht="15.75" customHeight="1" x14ac:dyDescent="0.2"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</row>
    <row r="261" spans="2:24" ht="15.75" customHeight="1" x14ac:dyDescent="0.2"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</row>
    <row r="262" spans="2:24" ht="15.75" customHeight="1" x14ac:dyDescent="0.2"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</row>
    <row r="263" spans="2:24" ht="15.75" customHeight="1" x14ac:dyDescent="0.2"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</row>
    <row r="264" spans="2:24" ht="15.75" customHeight="1" x14ac:dyDescent="0.2"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</row>
    <row r="265" spans="2:24" ht="15.75" customHeight="1" x14ac:dyDescent="0.2"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</row>
    <row r="266" spans="2:24" ht="15.75" customHeight="1" x14ac:dyDescent="0.2"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</row>
    <row r="267" spans="2:24" ht="15.75" customHeight="1" x14ac:dyDescent="0.2"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</row>
    <row r="268" spans="2:24" ht="15.75" customHeight="1" x14ac:dyDescent="0.2"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</row>
    <row r="269" spans="2:24" ht="15.75" customHeight="1" x14ac:dyDescent="0.2"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</row>
    <row r="270" spans="2:24" ht="15.75" customHeight="1" x14ac:dyDescent="0.2"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</row>
    <row r="271" spans="2:24" ht="15.75" customHeight="1" x14ac:dyDescent="0.2"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</row>
    <row r="272" spans="2:24" ht="15.75" customHeight="1" x14ac:dyDescent="0.2"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</row>
    <row r="273" spans="2:24" ht="15.75" customHeight="1" x14ac:dyDescent="0.2"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</row>
    <row r="274" spans="2:24" ht="15.75" customHeight="1" x14ac:dyDescent="0.2"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</row>
    <row r="275" spans="2:24" ht="15.75" customHeight="1" x14ac:dyDescent="0.2"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</row>
    <row r="276" spans="2:24" ht="15.75" customHeight="1" x14ac:dyDescent="0.2"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</row>
    <row r="277" spans="2:24" ht="15.75" customHeight="1" x14ac:dyDescent="0.2"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</row>
    <row r="278" spans="2:24" ht="15.75" customHeight="1" x14ac:dyDescent="0.2"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</row>
    <row r="279" spans="2:24" ht="15.75" customHeight="1" x14ac:dyDescent="0.2"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</row>
    <row r="280" spans="2:24" ht="15.75" customHeight="1" x14ac:dyDescent="0.2"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</row>
    <row r="281" spans="2:24" ht="15.75" customHeight="1" x14ac:dyDescent="0.2"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</row>
    <row r="282" spans="2:24" ht="15.75" customHeight="1" x14ac:dyDescent="0.2"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</row>
    <row r="283" spans="2:24" ht="15.75" customHeight="1" x14ac:dyDescent="0.2"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</row>
    <row r="284" spans="2:24" ht="15.75" customHeight="1" x14ac:dyDescent="0.2"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</row>
    <row r="285" spans="2:24" ht="15.75" customHeight="1" x14ac:dyDescent="0.2"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</row>
    <row r="286" spans="2:24" ht="15.75" customHeight="1" x14ac:dyDescent="0.2"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</row>
    <row r="287" spans="2:24" ht="15.75" customHeight="1" x14ac:dyDescent="0.2"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</row>
    <row r="288" spans="2:24" ht="15.75" customHeight="1" x14ac:dyDescent="0.2"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</row>
    <row r="289" spans="2:24" ht="15.75" customHeight="1" x14ac:dyDescent="0.2"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</row>
    <row r="290" spans="2:24" ht="15.75" customHeight="1" x14ac:dyDescent="0.2"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</row>
    <row r="291" spans="2:24" ht="15.75" customHeight="1" x14ac:dyDescent="0.2"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</row>
    <row r="292" spans="2:24" ht="15.75" customHeight="1" x14ac:dyDescent="0.2"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</row>
    <row r="293" spans="2:24" ht="15.75" customHeight="1" x14ac:dyDescent="0.2"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</row>
    <row r="294" spans="2:24" ht="15.75" customHeight="1" x14ac:dyDescent="0.2"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</row>
    <row r="295" spans="2:24" ht="15.75" customHeight="1" x14ac:dyDescent="0.2"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</row>
    <row r="296" spans="2:24" ht="15.75" customHeight="1" x14ac:dyDescent="0.2"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</row>
    <row r="297" spans="2:24" ht="15.75" customHeight="1" x14ac:dyDescent="0.2"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</row>
    <row r="298" spans="2:24" ht="15.75" customHeight="1" x14ac:dyDescent="0.2"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</row>
    <row r="299" spans="2:24" ht="15.75" customHeight="1" x14ac:dyDescent="0.2"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</row>
    <row r="300" spans="2:24" ht="15.75" customHeight="1" x14ac:dyDescent="0.2"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</row>
    <row r="301" spans="2:24" ht="15.75" customHeight="1" x14ac:dyDescent="0.2"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</row>
    <row r="302" spans="2:24" ht="15.75" customHeight="1" x14ac:dyDescent="0.2"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</row>
    <row r="303" spans="2:24" ht="15.75" customHeight="1" x14ac:dyDescent="0.2"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</row>
    <row r="304" spans="2:24" ht="15.75" customHeight="1" x14ac:dyDescent="0.2"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</row>
    <row r="305" spans="2:24" ht="15.75" customHeight="1" x14ac:dyDescent="0.2"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</row>
    <row r="306" spans="2:24" ht="15.75" customHeight="1" x14ac:dyDescent="0.2"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</row>
    <row r="307" spans="2:24" ht="15.75" customHeight="1" x14ac:dyDescent="0.2"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</row>
    <row r="308" spans="2:24" ht="15.75" customHeight="1" x14ac:dyDescent="0.2"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</row>
    <row r="309" spans="2:24" ht="15.75" customHeight="1" x14ac:dyDescent="0.2"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</row>
    <row r="310" spans="2:24" ht="15.75" customHeight="1" x14ac:dyDescent="0.2"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</row>
    <row r="311" spans="2:24" ht="15.75" customHeight="1" x14ac:dyDescent="0.2"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</row>
    <row r="312" spans="2:24" ht="15.75" customHeight="1" x14ac:dyDescent="0.2"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</row>
    <row r="313" spans="2:24" ht="15.75" customHeight="1" x14ac:dyDescent="0.2"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</row>
    <row r="314" spans="2:24" ht="15.75" customHeight="1" x14ac:dyDescent="0.2"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</row>
    <row r="315" spans="2:24" ht="15.75" customHeight="1" x14ac:dyDescent="0.2"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</row>
    <row r="316" spans="2:24" ht="15.75" customHeight="1" x14ac:dyDescent="0.2"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</row>
    <row r="317" spans="2:24" ht="15.75" customHeight="1" x14ac:dyDescent="0.2"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</row>
    <row r="318" spans="2:24" ht="15.75" customHeight="1" x14ac:dyDescent="0.2"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</row>
    <row r="319" spans="2:24" ht="15.75" customHeight="1" x14ac:dyDescent="0.2"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</row>
    <row r="320" spans="2:24" ht="15.75" customHeight="1" x14ac:dyDescent="0.2"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</row>
    <row r="321" spans="2:24" ht="15.75" customHeight="1" x14ac:dyDescent="0.2"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</row>
    <row r="322" spans="2:24" ht="15.75" customHeight="1" x14ac:dyDescent="0.2"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</row>
    <row r="323" spans="2:24" ht="15.75" customHeight="1" x14ac:dyDescent="0.2"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</row>
    <row r="324" spans="2:24" ht="15.75" customHeight="1" x14ac:dyDescent="0.2"/>
    <row r="325" spans="2:24" ht="15.75" customHeight="1" x14ac:dyDescent="0.2"/>
    <row r="326" spans="2:24" ht="15.75" customHeight="1" x14ac:dyDescent="0.2"/>
    <row r="327" spans="2:24" ht="15.75" customHeight="1" x14ac:dyDescent="0.2"/>
    <row r="328" spans="2:24" ht="15.75" customHeight="1" x14ac:dyDescent="0.2"/>
    <row r="329" spans="2:24" ht="15.75" customHeight="1" x14ac:dyDescent="0.2"/>
    <row r="330" spans="2:24" ht="15.75" customHeight="1" x14ac:dyDescent="0.2"/>
    <row r="331" spans="2:24" ht="15.75" customHeight="1" x14ac:dyDescent="0.2"/>
    <row r="332" spans="2:24" ht="15.75" customHeight="1" x14ac:dyDescent="0.2"/>
    <row r="333" spans="2:24" ht="15.75" customHeight="1" x14ac:dyDescent="0.2"/>
    <row r="334" spans="2:24" ht="15.75" customHeight="1" x14ac:dyDescent="0.2"/>
    <row r="335" spans="2:24" ht="15.75" customHeight="1" x14ac:dyDescent="0.2"/>
    <row r="336" spans="2:24" ht="15.75" customHeight="1" x14ac:dyDescent="0.2"/>
    <row r="337" spans="2:24" ht="15.75" customHeight="1" x14ac:dyDescent="0.2"/>
    <row r="338" spans="2:24" ht="15.75" customHeight="1" x14ac:dyDescent="0.2"/>
    <row r="339" customFormat="1" ht="15.75" customHeight="1" x14ac:dyDescent="0.2"/>
    <row r="340" customFormat="1" ht="15.75" customHeight="1" x14ac:dyDescent="0.2"/>
    <row r="341" customFormat="1" ht="15.75" customHeight="1" x14ac:dyDescent="0.2"/>
    <row r="342" customFormat="1" ht="15.75" customHeight="1" x14ac:dyDescent="0.2"/>
    <row r="343" customFormat="1" ht="15.75" customHeight="1" x14ac:dyDescent="0.2"/>
    <row r="344" customFormat="1" ht="15.75" customHeight="1" x14ac:dyDescent="0.2"/>
    <row r="345" customFormat="1" ht="15.75" customHeight="1" x14ac:dyDescent="0.2"/>
    <row r="346" customFormat="1" ht="15.75" customHeight="1" x14ac:dyDescent="0.2"/>
    <row r="347" customFormat="1" ht="15.75" customHeight="1" x14ac:dyDescent="0.2"/>
    <row r="348" customFormat="1" ht="15.75" customHeight="1" x14ac:dyDescent="0.2"/>
    <row r="349" customFormat="1" ht="15.75" customHeight="1" x14ac:dyDescent="0.2"/>
    <row r="350" customFormat="1" ht="15.75" customHeight="1" x14ac:dyDescent="0.2"/>
    <row r="351" customFormat="1" ht="15.75" customHeight="1" x14ac:dyDescent="0.2"/>
    <row r="352" customFormat="1" ht="15.75" customHeight="1" x14ac:dyDescent="0.2"/>
    <row r="353" customFormat="1" ht="15.75" customHeight="1" x14ac:dyDescent="0.2"/>
    <row r="354" customFormat="1" ht="15.75" customHeight="1" x14ac:dyDescent="0.2"/>
    <row r="355" customFormat="1" ht="15.75" customHeight="1" x14ac:dyDescent="0.2"/>
    <row r="356" customFormat="1" ht="15.75" customHeight="1" x14ac:dyDescent="0.2"/>
    <row r="357" customFormat="1" ht="15.75" customHeight="1" x14ac:dyDescent="0.2"/>
    <row r="358" customFormat="1" ht="15.75" customHeight="1" x14ac:dyDescent="0.2"/>
    <row r="359" customFormat="1" ht="15.75" customHeight="1" x14ac:dyDescent="0.2"/>
    <row r="360" customFormat="1" ht="15.75" customHeight="1" x14ac:dyDescent="0.2"/>
    <row r="361" customFormat="1" ht="15.75" customHeight="1" x14ac:dyDescent="0.2"/>
    <row r="362" customFormat="1" ht="15.75" customHeight="1" x14ac:dyDescent="0.2"/>
    <row r="363" customFormat="1" ht="15.75" customHeight="1" x14ac:dyDescent="0.2"/>
    <row r="364" customFormat="1" ht="15.75" customHeight="1" x14ac:dyDescent="0.2"/>
    <row r="365" customFormat="1" ht="15.75" customHeight="1" x14ac:dyDescent="0.2"/>
    <row r="366" customFormat="1" ht="15.75" customHeight="1" x14ac:dyDescent="0.2"/>
    <row r="367" customFormat="1" ht="15.75" customHeight="1" x14ac:dyDescent="0.2"/>
    <row r="368" customFormat="1" ht="15.75" customHeight="1" x14ac:dyDescent="0.2"/>
    <row r="369" customFormat="1" ht="15.75" customHeight="1" x14ac:dyDescent="0.2"/>
    <row r="370" customFormat="1" ht="15.75" customHeight="1" x14ac:dyDescent="0.2"/>
    <row r="371" customFormat="1" ht="15.75" customHeight="1" x14ac:dyDescent="0.2"/>
    <row r="372" customFormat="1" ht="15.75" customHeight="1" x14ac:dyDescent="0.2"/>
    <row r="373" customFormat="1" ht="15.75" customHeight="1" x14ac:dyDescent="0.2"/>
    <row r="374" customFormat="1" ht="15.75" customHeight="1" x14ac:dyDescent="0.2"/>
    <row r="375" customFormat="1" ht="15.75" customHeight="1" x14ac:dyDescent="0.2"/>
    <row r="376" customFormat="1" ht="15.75" customHeight="1" x14ac:dyDescent="0.2"/>
    <row r="377" customFormat="1" ht="15.75" customHeight="1" x14ac:dyDescent="0.2"/>
    <row r="378" customFormat="1" ht="15.75" customHeight="1" x14ac:dyDescent="0.2"/>
    <row r="379" customFormat="1" ht="15.75" customHeight="1" x14ac:dyDescent="0.2"/>
    <row r="380" customFormat="1" ht="15.75" customHeight="1" x14ac:dyDescent="0.2"/>
    <row r="381" customFormat="1" ht="15.75" customHeight="1" x14ac:dyDescent="0.2"/>
    <row r="382" customFormat="1" ht="15.75" customHeight="1" x14ac:dyDescent="0.2"/>
    <row r="383" customFormat="1" ht="15.75" customHeight="1" x14ac:dyDescent="0.2"/>
    <row r="384" customFormat="1" ht="15.75" customHeight="1" x14ac:dyDescent="0.2"/>
    <row r="385" customFormat="1" ht="15.75" customHeight="1" x14ac:dyDescent="0.2"/>
    <row r="386" customFormat="1" ht="15.75" customHeight="1" x14ac:dyDescent="0.2"/>
    <row r="387" customFormat="1" ht="15.75" customHeight="1" x14ac:dyDescent="0.2"/>
    <row r="388" customFormat="1" ht="15.75" customHeight="1" x14ac:dyDescent="0.2"/>
    <row r="389" customFormat="1" ht="15.75" customHeight="1" x14ac:dyDescent="0.2"/>
    <row r="390" customFormat="1" ht="15.75" customHeight="1" x14ac:dyDescent="0.2"/>
    <row r="391" customFormat="1" ht="15.75" customHeight="1" x14ac:dyDescent="0.2"/>
    <row r="392" customFormat="1" ht="15.75" customHeight="1" x14ac:dyDescent="0.2"/>
    <row r="393" customFormat="1" ht="15.75" customHeight="1" x14ac:dyDescent="0.2"/>
    <row r="394" customFormat="1" ht="15.75" customHeight="1" x14ac:dyDescent="0.2"/>
    <row r="395" customFormat="1" ht="15.75" customHeight="1" x14ac:dyDescent="0.2"/>
    <row r="396" customFormat="1" ht="15.75" customHeight="1" x14ac:dyDescent="0.2"/>
    <row r="397" customFormat="1" ht="15.75" customHeight="1" x14ac:dyDescent="0.2"/>
    <row r="398" customFormat="1" ht="15.75" customHeight="1" x14ac:dyDescent="0.2"/>
    <row r="399" customFormat="1" ht="15.75" customHeight="1" x14ac:dyDescent="0.2"/>
    <row r="400" customFormat="1" ht="15.75" customHeight="1" x14ac:dyDescent="0.2"/>
    <row r="401" customFormat="1" ht="15.75" customHeight="1" x14ac:dyDescent="0.2"/>
    <row r="402" customFormat="1" ht="15.75" customHeight="1" x14ac:dyDescent="0.2"/>
    <row r="403" customFormat="1" ht="15.75" customHeight="1" x14ac:dyDescent="0.2"/>
    <row r="404" customFormat="1" ht="15.75" customHeight="1" x14ac:dyDescent="0.2"/>
    <row r="405" customFormat="1" ht="15.75" customHeight="1" x14ac:dyDescent="0.2"/>
    <row r="406" customFormat="1" ht="15.75" customHeight="1" x14ac:dyDescent="0.2"/>
    <row r="407" customFormat="1" ht="15.75" customHeight="1" x14ac:dyDescent="0.2"/>
    <row r="408" customFormat="1" ht="15.75" customHeight="1" x14ac:dyDescent="0.2"/>
    <row r="409" customFormat="1" ht="15.75" customHeight="1" x14ac:dyDescent="0.2"/>
    <row r="410" customFormat="1" ht="15.75" customHeight="1" x14ac:dyDescent="0.2"/>
    <row r="411" customFormat="1" ht="15.75" customHeight="1" x14ac:dyDescent="0.2"/>
    <row r="412" customFormat="1" ht="15.75" customHeight="1" x14ac:dyDescent="0.2"/>
    <row r="413" customFormat="1" ht="15.75" customHeight="1" x14ac:dyDescent="0.2"/>
    <row r="414" customFormat="1" ht="15.75" customHeight="1" x14ac:dyDescent="0.2"/>
    <row r="415" customFormat="1" ht="15.75" customHeight="1" x14ac:dyDescent="0.2"/>
    <row r="416" customFormat="1" ht="15.75" customHeight="1" x14ac:dyDescent="0.2"/>
    <row r="417" customFormat="1" ht="15.75" customHeight="1" x14ac:dyDescent="0.2"/>
    <row r="418" customFormat="1" ht="15.75" customHeight="1" x14ac:dyDescent="0.2"/>
    <row r="419" customFormat="1" ht="15.75" customHeight="1" x14ac:dyDescent="0.2"/>
    <row r="420" customFormat="1" ht="15.75" customHeight="1" x14ac:dyDescent="0.2"/>
    <row r="421" customFormat="1" ht="15.75" customHeight="1" x14ac:dyDescent="0.2"/>
    <row r="422" customFormat="1" ht="15.75" customHeight="1" x14ac:dyDescent="0.2"/>
    <row r="423" customFormat="1" ht="15.75" customHeight="1" x14ac:dyDescent="0.2"/>
    <row r="424" customFormat="1" ht="15.75" customHeight="1" x14ac:dyDescent="0.2"/>
    <row r="425" customFormat="1" ht="15.75" customHeight="1" x14ac:dyDescent="0.2"/>
    <row r="426" customFormat="1" ht="15.75" customHeight="1" x14ac:dyDescent="0.2"/>
    <row r="427" customFormat="1" ht="15.75" customHeight="1" x14ac:dyDescent="0.2"/>
    <row r="428" customFormat="1" ht="15.75" customHeight="1" x14ac:dyDescent="0.2"/>
    <row r="429" customFormat="1" ht="15.75" customHeight="1" x14ac:dyDescent="0.2"/>
    <row r="430" customFormat="1" ht="15.75" customHeight="1" x14ac:dyDescent="0.2"/>
    <row r="431" customFormat="1" ht="15.75" customHeight="1" x14ac:dyDescent="0.2"/>
    <row r="432" customFormat="1" ht="15.75" customHeight="1" x14ac:dyDescent="0.2"/>
    <row r="433" customFormat="1" ht="15.75" customHeight="1" x14ac:dyDescent="0.2"/>
    <row r="434" customFormat="1" ht="15.75" customHeight="1" x14ac:dyDescent="0.2"/>
    <row r="435" customFormat="1" ht="15.75" customHeight="1" x14ac:dyDescent="0.2"/>
    <row r="436" customFormat="1" ht="15.75" customHeight="1" x14ac:dyDescent="0.2"/>
    <row r="437" customFormat="1" ht="15.75" customHeight="1" x14ac:dyDescent="0.2"/>
    <row r="438" customFormat="1" ht="15.75" customHeight="1" x14ac:dyDescent="0.2"/>
    <row r="439" customFormat="1" ht="15.75" customHeight="1" x14ac:dyDescent="0.2"/>
    <row r="440" customFormat="1" ht="15.75" customHeight="1" x14ac:dyDescent="0.2"/>
    <row r="441" customFormat="1" ht="15.75" customHeight="1" x14ac:dyDescent="0.2"/>
    <row r="442" customFormat="1" ht="15.75" customHeight="1" x14ac:dyDescent="0.2"/>
    <row r="443" customFormat="1" ht="15.75" customHeight="1" x14ac:dyDescent="0.2"/>
    <row r="444" customFormat="1" ht="15.75" customHeight="1" x14ac:dyDescent="0.2"/>
    <row r="445" customFormat="1" ht="15.75" customHeight="1" x14ac:dyDescent="0.2"/>
    <row r="446" customFormat="1" ht="15.75" customHeight="1" x14ac:dyDescent="0.2"/>
    <row r="447" customFormat="1" ht="15.75" customHeight="1" x14ac:dyDescent="0.2"/>
    <row r="448" customFormat="1" ht="15.75" customHeight="1" x14ac:dyDescent="0.2"/>
    <row r="449" customFormat="1" ht="15.75" customHeight="1" x14ac:dyDescent="0.2"/>
    <row r="450" customFormat="1" ht="15.75" customHeight="1" x14ac:dyDescent="0.2"/>
    <row r="451" customFormat="1" ht="15.75" customHeight="1" x14ac:dyDescent="0.2"/>
    <row r="452" customFormat="1" ht="15.75" customHeight="1" x14ac:dyDescent="0.2"/>
    <row r="453" customFormat="1" ht="15.75" customHeight="1" x14ac:dyDescent="0.2"/>
    <row r="454" customFormat="1" ht="15.75" customHeight="1" x14ac:dyDescent="0.2"/>
    <row r="455" customFormat="1" ht="15.75" customHeight="1" x14ac:dyDescent="0.2"/>
    <row r="456" customFormat="1" ht="15.75" customHeight="1" x14ac:dyDescent="0.2"/>
    <row r="457" customFormat="1" ht="15.75" customHeight="1" x14ac:dyDescent="0.2"/>
    <row r="458" customFormat="1" ht="15.75" customHeight="1" x14ac:dyDescent="0.2"/>
    <row r="459" customFormat="1" ht="15.75" customHeight="1" x14ac:dyDescent="0.2"/>
    <row r="460" customFormat="1" ht="15.75" customHeight="1" x14ac:dyDescent="0.2"/>
    <row r="461" customFormat="1" ht="15.75" customHeight="1" x14ac:dyDescent="0.2"/>
    <row r="462" customFormat="1" ht="15.75" customHeight="1" x14ac:dyDescent="0.2"/>
    <row r="463" customFormat="1" ht="15.75" customHeight="1" x14ac:dyDescent="0.2"/>
    <row r="464" customFormat="1" ht="15.75" customHeight="1" x14ac:dyDescent="0.2"/>
    <row r="465" customFormat="1" ht="15.75" customHeight="1" x14ac:dyDescent="0.2"/>
    <row r="466" customFormat="1" ht="15.75" customHeight="1" x14ac:dyDescent="0.2"/>
    <row r="467" customFormat="1" ht="15.75" customHeight="1" x14ac:dyDescent="0.2"/>
    <row r="468" customFormat="1" ht="15.75" customHeight="1" x14ac:dyDescent="0.2"/>
    <row r="469" customFormat="1" ht="15.75" customHeight="1" x14ac:dyDescent="0.2"/>
    <row r="470" customFormat="1" ht="15.75" customHeight="1" x14ac:dyDescent="0.2"/>
    <row r="471" customFormat="1" ht="15.75" customHeight="1" x14ac:dyDescent="0.2"/>
    <row r="472" customFormat="1" ht="15.75" customHeight="1" x14ac:dyDescent="0.2"/>
    <row r="473" customFormat="1" ht="15.75" customHeight="1" x14ac:dyDescent="0.2"/>
    <row r="474" customFormat="1" ht="15.75" customHeight="1" x14ac:dyDescent="0.2"/>
    <row r="475" customFormat="1" ht="15.75" customHeight="1" x14ac:dyDescent="0.2"/>
    <row r="476" customFormat="1" ht="15.75" customHeight="1" x14ac:dyDescent="0.2"/>
    <row r="477" customFormat="1" ht="15.75" customHeight="1" x14ac:dyDescent="0.2"/>
    <row r="478" customFormat="1" ht="15.75" customHeight="1" x14ac:dyDescent="0.2"/>
    <row r="479" customFormat="1" ht="15.75" customHeight="1" x14ac:dyDescent="0.2"/>
    <row r="480" customFormat="1" ht="15.75" customHeight="1" x14ac:dyDescent="0.2"/>
    <row r="481" customFormat="1" ht="15.75" customHeight="1" x14ac:dyDescent="0.2"/>
    <row r="482" customFormat="1" ht="15.75" customHeight="1" x14ac:dyDescent="0.2"/>
    <row r="483" customFormat="1" ht="15.75" customHeight="1" x14ac:dyDescent="0.2"/>
    <row r="484" customFormat="1" ht="15.75" customHeight="1" x14ac:dyDescent="0.2"/>
    <row r="485" customFormat="1" ht="15.75" customHeight="1" x14ac:dyDescent="0.2"/>
    <row r="486" customFormat="1" ht="15.75" customHeight="1" x14ac:dyDescent="0.2"/>
    <row r="487" customFormat="1" ht="15.75" customHeight="1" x14ac:dyDescent="0.2"/>
    <row r="488" customFormat="1" ht="15.75" customHeight="1" x14ac:dyDescent="0.2"/>
    <row r="489" customFormat="1" ht="15.75" customHeight="1" x14ac:dyDescent="0.2"/>
    <row r="490" customFormat="1" ht="15.75" customHeight="1" x14ac:dyDescent="0.2"/>
    <row r="491" customFormat="1" ht="15.75" customHeight="1" x14ac:dyDescent="0.2"/>
    <row r="492" customFormat="1" ht="15.75" customHeight="1" x14ac:dyDescent="0.2"/>
    <row r="493" customFormat="1" ht="15.75" customHeight="1" x14ac:dyDescent="0.2"/>
    <row r="494" customFormat="1" ht="15.75" customHeight="1" x14ac:dyDescent="0.2"/>
    <row r="495" customFormat="1" ht="15.75" customHeight="1" x14ac:dyDescent="0.2"/>
    <row r="496" customFormat="1" ht="15.75" customHeight="1" x14ac:dyDescent="0.2"/>
    <row r="497" customFormat="1" ht="15.75" customHeight="1" x14ac:dyDescent="0.2"/>
    <row r="498" customFormat="1" ht="15.75" customHeight="1" x14ac:dyDescent="0.2"/>
    <row r="499" customFormat="1" ht="15.75" customHeight="1" x14ac:dyDescent="0.2"/>
    <row r="500" customFormat="1" ht="15.75" customHeight="1" x14ac:dyDescent="0.2"/>
    <row r="501" customFormat="1" ht="15.75" customHeight="1" x14ac:dyDescent="0.2"/>
    <row r="502" customFormat="1" ht="15.75" customHeight="1" x14ac:dyDescent="0.2"/>
    <row r="503" customFormat="1" ht="15.75" customHeight="1" x14ac:dyDescent="0.2"/>
    <row r="504" customFormat="1" ht="15.75" customHeight="1" x14ac:dyDescent="0.2"/>
    <row r="505" customFormat="1" ht="15.75" customHeight="1" x14ac:dyDescent="0.2"/>
    <row r="506" customFormat="1" ht="15.75" customHeight="1" x14ac:dyDescent="0.2"/>
    <row r="507" customFormat="1" ht="15.75" customHeight="1" x14ac:dyDescent="0.2"/>
    <row r="508" customFormat="1" ht="15.75" customHeight="1" x14ac:dyDescent="0.2"/>
    <row r="509" customFormat="1" ht="15.75" customHeight="1" x14ac:dyDescent="0.2"/>
    <row r="510" customFormat="1" ht="15.75" customHeight="1" x14ac:dyDescent="0.2"/>
    <row r="511" customFormat="1" ht="15.75" customHeight="1" x14ac:dyDescent="0.2"/>
    <row r="512" customFormat="1" ht="15.75" customHeight="1" x14ac:dyDescent="0.2"/>
    <row r="513" customFormat="1" ht="15.75" customHeight="1" x14ac:dyDescent="0.2"/>
    <row r="514" customFormat="1" ht="15.75" customHeight="1" x14ac:dyDescent="0.2"/>
    <row r="515" customFormat="1" ht="15.75" customHeight="1" x14ac:dyDescent="0.2"/>
    <row r="516" customFormat="1" ht="15.75" customHeight="1" x14ac:dyDescent="0.2"/>
    <row r="517" customFormat="1" ht="15.75" customHeight="1" x14ac:dyDescent="0.2"/>
    <row r="518" customFormat="1" ht="15.75" customHeight="1" x14ac:dyDescent="0.2"/>
    <row r="519" customFormat="1" ht="15.75" customHeight="1" x14ac:dyDescent="0.2"/>
    <row r="520" customFormat="1" ht="15.75" customHeight="1" x14ac:dyDescent="0.2"/>
    <row r="521" customFormat="1" ht="15.75" customHeight="1" x14ac:dyDescent="0.2"/>
    <row r="522" customFormat="1" ht="15.75" customHeight="1" x14ac:dyDescent="0.2"/>
    <row r="523" customFormat="1" ht="15.75" customHeight="1" x14ac:dyDescent="0.2"/>
    <row r="524" customFormat="1" ht="15.75" customHeight="1" x14ac:dyDescent="0.2"/>
    <row r="525" customFormat="1" ht="15.75" customHeight="1" x14ac:dyDescent="0.2"/>
    <row r="526" customFormat="1" ht="15.75" customHeight="1" x14ac:dyDescent="0.2"/>
    <row r="527" customFormat="1" ht="15.75" customHeight="1" x14ac:dyDescent="0.2"/>
    <row r="528" customFormat="1" ht="15.75" customHeight="1" x14ac:dyDescent="0.2"/>
    <row r="529" customFormat="1" ht="15.75" customHeight="1" x14ac:dyDescent="0.2"/>
    <row r="530" customFormat="1" ht="15.75" customHeight="1" x14ac:dyDescent="0.2"/>
    <row r="531" customFormat="1" ht="15.75" customHeight="1" x14ac:dyDescent="0.2"/>
    <row r="532" customFormat="1" ht="15.75" customHeight="1" x14ac:dyDescent="0.2"/>
    <row r="533" customFormat="1" ht="15.75" customHeight="1" x14ac:dyDescent="0.2"/>
    <row r="534" customFormat="1" ht="15.75" customHeight="1" x14ac:dyDescent="0.2"/>
    <row r="535" customFormat="1" ht="15.75" customHeight="1" x14ac:dyDescent="0.2"/>
    <row r="536" customFormat="1" ht="15.75" customHeight="1" x14ac:dyDescent="0.2"/>
    <row r="537" customFormat="1" ht="15.75" customHeight="1" x14ac:dyDescent="0.2"/>
    <row r="538" customFormat="1" ht="15.75" customHeight="1" x14ac:dyDescent="0.2"/>
    <row r="539" customFormat="1" ht="15.75" customHeight="1" x14ac:dyDescent="0.2"/>
    <row r="540" customFormat="1" ht="15.75" customHeight="1" x14ac:dyDescent="0.2"/>
    <row r="541" customFormat="1" ht="15.75" customHeight="1" x14ac:dyDescent="0.2"/>
    <row r="542" customFormat="1" ht="15.75" customHeight="1" x14ac:dyDescent="0.2"/>
    <row r="543" customFormat="1" ht="15.75" customHeight="1" x14ac:dyDescent="0.2"/>
    <row r="544" customFormat="1" ht="15.75" customHeight="1" x14ac:dyDescent="0.2"/>
    <row r="545" customFormat="1" ht="15.75" customHeight="1" x14ac:dyDescent="0.2"/>
    <row r="546" customFormat="1" ht="15.75" customHeight="1" x14ac:dyDescent="0.2"/>
    <row r="547" customFormat="1" ht="15.75" customHeight="1" x14ac:dyDescent="0.2"/>
    <row r="548" customFormat="1" ht="15.75" customHeight="1" x14ac:dyDescent="0.2"/>
    <row r="549" customFormat="1" ht="15.75" customHeight="1" x14ac:dyDescent="0.2"/>
    <row r="550" customFormat="1" ht="15.75" customHeight="1" x14ac:dyDescent="0.2"/>
    <row r="551" customFormat="1" ht="15.75" customHeight="1" x14ac:dyDescent="0.2"/>
    <row r="552" customFormat="1" ht="15.75" customHeight="1" x14ac:dyDescent="0.2"/>
    <row r="553" customFormat="1" ht="15.75" customHeight="1" x14ac:dyDescent="0.2"/>
    <row r="554" customFormat="1" ht="15.75" customHeight="1" x14ac:dyDescent="0.2"/>
    <row r="555" customFormat="1" ht="15.75" customHeight="1" x14ac:dyDescent="0.2"/>
    <row r="556" customFormat="1" ht="15.75" customHeight="1" x14ac:dyDescent="0.2"/>
    <row r="557" customFormat="1" ht="15.75" customHeight="1" x14ac:dyDescent="0.2"/>
    <row r="558" customFormat="1" ht="15.75" customHeight="1" x14ac:dyDescent="0.2"/>
    <row r="559" customFormat="1" ht="15.75" customHeight="1" x14ac:dyDescent="0.2"/>
    <row r="560" customFormat="1" ht="15.75" customHeight="1" x14ac:dyDescent="0.2"/>
    <row r="561" customFormat="1" ht="15.75" customHeight="1" x14ac:dyDescent="0.2"/>
    <row r="562" customFormat="1" ht="15.75" customHeight="1" x14ac:dyDescent="0.2"/>
    <row r="563" customFormat="1" ht="15.75" customHeight="1" x14ac:dyDescent="0.2"/>
    <row r="564" customFormat="1" ht="15.75" customHeight="1" x14ac:dyDescent="0.2"/>
    <row r="565" customFormat="1" ht="15.75" customHeight="1" x14ac:dyDescent="0.2"/>
    <row r="566" customFormat="1" ht="15.75" customHeight="1" x14ac:dyDescent="0.2"/>
    <row r="567" customFormat="1" ht="15.75" customHeight="1" x14ac:dyDescent="0.2"/>
    <row r="568" customFormat="1" ht="15.75" customHeight="1" x14ac:dyDescent="0.2"/>
    <row r="569" customFormat="1" ht="15.75" customHeight="1" x14ac:dyDescent="0.2"/>
    <row r="570" customFormat="1" ht="15.75" customHeight="1" x14ac:dyDescent="0.2"/>
    <row r="571" customFormat="1" ht="15.75" customHeight="1" x14ac:dyDescent="0.2"/>
    <row r="572" customFormat="1" ht="15.75" customHeight="1" x14ac:dyDescent="0.2"/>
    <row r="573" customFormat="1" ht="15.75" customHeight="1" x14ac:dyDescent="0.2"/>
    <row r="574" customFormat="1" ht="15.75" customHeight="1" x14ac:dyDescent="0.2"/>
    <row r="575" customFormat="1" ht="15.75" customHeight="1" x14ac:dyDescent="0.2"/>
    <row r="576" customFormat="1" ht="15.75" customHeight="1" x14ac:dyDescent="0.2"/>
    <row r="577" customFormat="1" ht="15.75" customHeight="1" x14ac:dyDescent="0.2"/>
    <row r="578" customFormat="1" ht="15.75" customHeight="1" x14ac:dyDescent="0.2"/>
    <row r="579" customFormat="1" ht="15.75" customHeight="1" x14ac:dyDescent="0.2"/>
    <row r="580" customFormat="1" ht="15.75" customHeight="1" x14ac:dyDescent="0.2"/>
    <row r="581" customFormat="1" ht="15.75" customHeight="1" x14ac:dyDescent="0.2"/>
    <row r="582" customFormat="1" ht="15.75" customHeight="1" x14ac:dyDescent="0.2"/>
    <row r="583" customFormat="1" ht="15.75" customHeight="1" x14ac:dyDescent="0.2"/>
    <row r="584" customFormat="1" ht="15.75" customHeight="1" x14ac:dyDescent="0.2"/>
    <row r="585" customFormat="1" ht="15.75" customHeight="1" x14ac:dyDescent="0.2"/>
    <row r="586" customFormat="1" ht="15.75" customHeight="1" x14ac:dyDescent="0.2"/>
    <row r="587" customFormat="1" ht="15.75" customHeight="1" x14ac:dyDescent="0.2"/>
    <row r="588" customFormat="1" ht="15.75" customHeight="1" x14ac:dyDescent="0.2"/>
    <row r="589" customFormat="1" ht="15.75" customHeight="1" x14ac:dyDescent="0.2"/>
    <row r="590" customFormat="1" ht="15.75" customHeight="1" x14ac:dyDescent="0.2"/>
    <row r="591" customFormat="1" ht="15.75" customHeight="1" x14ac:dyDescent="0.2"/>
    <row r="592" customFormat="1" ht="15.75" customHeight="1" x14ac:dyDescent="0.2"/>
    <row r="593" customFormat="1" ht="15.75" customHeight="1" x14ac:dyDescent="0.2"/>
    <row r="594" customFormat="1" ht="15.75" customHeight="1" x14ac:dyDescent="0.2"/>
    <row r="595" customFormat="1" ht="15.75" customHeight="1" x14ac:dyDescent="0.2"/>
    <row r="596" customFormat="1" ht="15.75" customHeight="1" x14ac:dyDescent="0.2"/>
    <row r="597" customFormat="1" ht="15.75" customHeight="1" x14ac:dyDescent="0.2"/>
    <row r="598" customFormat="1" ht="15.75" customHeight="1" x14ac:dyDescent="0.2"/>
    <row r="599" customFormat="1" ht="15.75" customHeight="1" x14ac:dyDescent="0.2"/>
    <row r="600" customFormat="1" ht="15.75" customHeight="1" x14ac:dyDescent="0.2"/>
    <row r="601" customFormat="1" ht="15.75" customHeight="1" x14ac:dyDescent="0.2"/>
    <row r="602" customFormat="1" ht="15.75" customHeight="1" x14ac:dyDescent="0.2"/>
    <row r="603" customFormat="1" ht="15.75" customHeight="1" x14ac:dyDescent="0.2"/>
    <row r="604" customFormat="1" ht="15.75" customHeight="1" x14ac:dyDescent="0.2"/>
    <row r="605" customFormat="1" ht="15.75" customHeight="1" x14ac:dyDescent="0.2"/>
    <row r="606" customFormat="1" ht="15.75" customHeight="1" x14ac:dyDescent="0.2"/>
    <row r="607" customFormat="1" ht="15.75" customHeight="1" x14ac:dyDescent="0.2"/>
    <row r="608" customFormat="1" ht="15.75" customHeight="1" x14ac:dyDescent="0.2"/>
    <row r="609" customFormat="1" ht="15.75" customHeight="1" x14ac:dyDescent="0.2"/>
    <row r="610" customFormat="1" ht="15.75" customHeight="1" x14ac:dyDescent="0.2"/>
    <row r="611" customFormat="1" ht="15.75" customHeight="1" x14ac:dyDescent="0.2"/>
    <row r="612" customFormat="1" ht="15.75" customHeight="1" x14ac:dyDescent="0.2"/>
    <row r="613" customFormat="1" ht="15.75" customHeight="1" x14ac:dyDescent="0.2"/>
    <row r="614" customFormat="1" ht="15.75" customHeight="1" x14ac:dyDescent="0.2"/>
    <row r="615" customFormat="1" ht="15.75" customHeight="1" x14ac:dyDescent="0.2"/>
    <row r="616" customFormat="1" ht="15.75" customHeight="1" x14ac:dyDescent="0.2"/>
    <row r="617" customFormat="1" ht="15.75" customHeight="1" x14ac:dyDescent="0.2"/>
    <row r="618" customFormat="1" ht="15.75" customHeight="1" x14ac:dyDescent="0.2"/>
    <row r="619" customFormat="1" ht="15.75" customHeight="1" x14ac:dyDescent="0.2"/>
    <row r="620" customFormat="1" ht="15.75" customHeight="1" x14ac:dyDescent="0.2"/>
    <row r="621" customFormat="1" ht="15.75" customHeight="1" x14ac:dyDescent="0.2"/>
    <row r="622" customFormat="1" ht="15.75" customHeight="1" x14ac:dyDescent="0.2"/>
    <row r="623" customFormat="1" ht="15.75" customHeight="1" x14ac:dyDescent="0.2"/>
    <row r="624" customFormat="1" ht="15.75" customHeight="1" x14ac:dyDescent="0.2"/>
    <row r="625" customFormat="1" ht="15.75" customHeight="1" x14ac:dyDescent="0.2"/>
    <row r="626" customFormat="1" ht="15.75" customHeight="1" x14ac:dyDescent="0.2"/>
    <row r="627" customFormat="1" ht="15.75" customHeight="1" x14ac:dyDescent="0.2"/>
    <row r="628" customFormat="1" ht="15.75" customHeight="1" x14ac:dyDescent="0.2"/>
    <row r="629" customFormat="1" ht="15.75" customHeight="1" x14ac:dyDescent="0.2"/>
    <row r="630" customFormat="1" ht="15.75" customHeight="1" x14ac:dyDescent="0.2"/>
    <row r="631" customFormat="1" ht="15.75" customHeight="1" x14ac:dyDescent="0.2"/>
    <row r="632" customFormat="1" ht="15.75" customHeight="1" x14ac:dyDescent="0.2"/>
    <row r="633" customFormat="1" ht="15.75" customHeight="1" x14ac:dyDescent="0.2"/>
    <row r="634" customFormat="1" ht="15.75" customHeight="1" x14ac:dyDescent="0.2"/>
    <row r="635" customFormat="1" ht="15.75" customHeight="1" x14ac:dyDescent="0.2"/>
    <row r="636" customFormat="1" ht="15.75" customHeight="1" x14ac:dyDescent="0.2"/>
    <row r="637" customFormat="1" ht="15.75" customHeight="1" x14ac:dyDescent="0.2"/>
    <row r="638" customFormat="1" ht="15.75" customHeight="1" x14ac:dyDescent="0.2"/>
    <row r="639" customFormat="1" ht="15.75" customHeight="1" x14ac:dyDescent="0.2"/>
    <row r="640" customFormat="1" ht="15.75" customHeight="1" x14ac:dyDescent="0.2"/>
    <row r="641" customFormat="1" ht="15.75" customHeight="1" x14ac:dyDescent="0.2"/>
    <row r="642" customFormat="1" ht="15.75" customHeight="1" x14ac:dyDescent="0.2"/>
    <row r="643" customFormat="1" ht="15.75" customHeight="1" x14ac:dyDescent="0.2"/>
    <row r="644" customFormat="1" ht="15.75" customHeight="1" x14ac:dyDescent="0.2"/>
    <row r="645" customFormat="1" ht="15.75" customHeight="1" x14ac:dyDescent="0.2"/>
    <row r="646" customFormat="1" ht="15.75" customHeight="1" x14ac:dyDescent="0.2"/>
    <row r="647" customFormat="1" ht="15.75" customHeight="1" x14ac:dyDescent="0.2"/>
    <row r="648" customFormat="1" ht="15.75" customHeight="1" x14ac:dyDescent="0.2"/>
    <row r="649" customFormat="1" ht="15.75" customHeight="1" x14ac:dyDescent="0.2"/>
    <row r="650" customFormat="1" ht="15.75" customHeight="1" x14ac:dyDescent="0.2"/>
    <row r="651" customFormat="1" ht="15.75" customHeight="1" x14ac:dyDescent="0.2"/>
    <row r="652" customFormat="1" ht="15.75" customHeight="1" x14ac:dyDescent="0.2"/>
    <row r="653" customFormat="1" ht="15.75" customHeight="1" x14ac:dyDescent="0.2"/>
    <row r="654" customFormat="1" ht="15.75" customHeight="1" x14ac:dyDescent="0.2"/>
    <row r="655" customFormat="1" ht="15.75" customHeight="1" x14ac:dyDescent="0.2"/>
    <row r="656" customFormat="1" ht="15.75" customHeight="1" x14ac:dyDescent="0.2"/>
    <row r="657" customFormat="1" ht="15.75" customHeight="1" x14ac:dyDescent="0.2"/>
    <row r="658" customFormat="1" ht="15.75" customHeight="1" x14ac:dyDescent="0.2"/>
    <row r="659" customFormat="1" ht="15.75" customHeight="1" x14ac:dyDescent="0.2"/>
    <row r="660" customFormat="1" ht="15.75" customHeight="1" x14ac:dyDescent="0.2"/>
    <row r="661" customFormat="1" ht="15.75" customHeight="1" x14ac:dyDescent="0.2"/>
    <row r="662" customFormat="1" ht="15.75" customHeight="1" x14ac:dyDescent="0.2"/>
    <row r="663" customFormat="1" ht="15.75" customHeight="1" x14ac:dyDescent="0.2"/>
    <row r="664" customFormat="1" ht="15.75" customHeight="1" x14ac:dyDescent="0.2"/>
    <row r="665" customFormat="1" ht="15.75" customHeight="1" x14ac:dyDescent="0.2"/>
    <row r="666" customFormat="1" ht="15.75" customHeight="1" x14ac:dyDescent="0.2"/>
    <row r="667" customFormat="1" ht="15.75" customHeight="1" x14ac:dyDescent="0.2"/>
    <row r="668" customFormat="1" ht="15.75" customHeight="1" x14ac:dyDescent="0.2"/>
    <row r="669" customFormat="1" ht="15.75" customHeight="1" x14ac:dyDescent="0.2"/>
    <row r="670" customFormat="1" ht="15.75" customHeight="1" x14ac:dyDescent="0.2"/>
    <row r="671" customFormat="1" ht="15.75" customHeight="1" x14ac:dyDescent="0.2"/>
    <row r="672" customFormat="1" ht="15.75" customHeight="1" x14ac:dyDescent="0.2"/>
    <row r="673" customFormat="1" ht="15.75" customHeight="1" x14ac:dyDescent="0.2"/>
    <row r="674" customFormat="1" ht="15.75" customHeight="1" x14ac:dyDescent="0.2"/>
    <row r="675" customFormat="1" ht="15.75" customHeight="1" x14ac:dyDescent="0.2"/>
    <row r="676" customFormat="1" ht="15.75" customHeight="1" x14ac:dyDescent="0.2"/>
    <row r="677" customFormat="1" ht="15.75" customHeight="1" x14ac:dyDescent="0.2"/>
    <row r="678" customFormat="1" ht="15.75" customHeight="1" x14ac:dyDescent="0.2"/>
    <row r="679" customFormat="1" ht="15.75" customHeight="1" x14ac:dyDescent="0.2"/>
    <row r="680" customFormat="1" ht="15.75" customHeight="1" x14ac:dyDescent="0.2"/>
    <row r="681" customFormat="1" ht="15.75" customHeight="1" x14ac:dyDescent="0.2"/>
    <row r="682" customFormat="1" ht="15.75" customHeight="1" x14ac:dyDescent="0.2"/>
    <row r="683" customFormat="1" ht="15.75" customHeight="1" x14ac:dyDescent="0.2"/>
    <row r="684" customFormat="1" ht="15.75" customHeight="1" x14ac:dyDescent="0.2"/>
    <row r="685" customFormat="1" ht="15.75" customHeight="1" x14ac:dyDescent="0.2"/>
    <row r="686" customFormat="1" ht="15.75" customHeight="1" x14ac:dyDescent="0.2"/>
    <row r="687" customFormat="1" ht="15.75" customHeight="1" x14ac:dyDescent="0.2"/>
    <row r="688" customFormat="1" ht="15.75" customHeight="1" x14ac:dyDescent="0.2"/>
    <row r="689" customFormat="1" ht="15.75" customHeight="1" x14ac:dyDescent="0.2"/>
    <row r="690" customFormat="1" ht="15.75" customHeight="1" x14ac:dyDescent="0.2"/>
    <row r="691" customFormat="1" ht="15.75" customHeight="1" x14ac:dyDescent="0.2"/>
    <row r="692" customFormat="1" ht="15.75" customHeight="1" x14ac:dyDescent="0.2"/>
    <row r="693" customFormat="1" ht="15.75" customHeight="1" x14ac:dyDescent="0.2"/>
    <row r="694" customFormat="1" ht="15.75" customHeight="1" x14ac:dyDescent="0.2"/>
    <row r="695" customFormat="1" ht="15.75" customHeight="1" x14ac:dyDescent="0.2"/>
    <row r="696" customFormat="1" ht="15.75" customHeight="1" x14ac:dyDescent="0.2"/>
    <row r="697" customFormat="1" ht="15.75" customHeight="1" x14ac:dyDescent="0.2"/>
    <row r="698" customFormat="1" ht="15.75" customHeight="1" x14ac:dyDescent="0.2"/>
    <row r="699" customFormat="1" ht="15.75" customHeight="1" x14ac:dyDescent="0.2"/>
    <row r="700" customFormat="1" ht="15.75" customHeight="1" x14ac:dyDescent="0.2"/>
    <row r="701" customFormat="1" ht="15.75" customHeight="1" x14ac:dyDescent="0.2"/>
    <row r="702" customFormat="1" ht="15.75" customHeight="1" x14ac:dyDescent="0.2"/>
    <row r="703" customFormat="1" ht="15.75" customHeight="1" x14ac:dyDescent="0.2"/>
    <row r="704" customFormat="1" ht="15.75" customHeight="1" x14ac:dyDescent="0.2"/>
    <row r="705" customFormat="1" ht="15.75" customHeight="1" x14ac:dyDescent="0.2"/>
    <row r="706" customFormat="1" ht="15.75" customHeight="1" x14ac:dyDescent="0.2"/>
    <row r="707" customFormat="1" ht="15.75" customHeight="1" x14ac:dyDescent="0.2"/>
    <row r="708" customFormat="1" ht="15.75" customHeight="1" x14ac:dyDescent="0.2"/>
    <row r="709" customFormat="1" ht="15.75" customHeight="1" x14ac:dyDescent="0.2"/>
    <row r="710" customFormat="1" ht="15.75" customHeight="1" x14ac:dyDescent="0.2"/>
    <row r="711" customFormat="1" ht="15.75" customHeight="1" x14ac:dyDescent="0.2"/>
    <row r="712" customFormat="1" ht="15.75" customHeight="1" x14ac:dyDescent="0.2"/>
    <row r="713" customFormat="1" ht="15.75" customHeight="1" x14ac:dyDescent="0.2"/>
    <row r="714" customFormat="1" ht="15.75" customHeight="1" x14ac:dyDescent="0.2"/>
    <row r="715" customFormat="1" ht="15.75" customHeight="1" x14ac:dyDescent="0.2"/>
    <row r="716" customFormat="1" ht="15.75" customHeight="1" x14ac:dyDescent="0.2"/>
    <row r="717" customFormat="1" ht="15.75" customHeight="1" x14ac:dyDescent="0.2"/>
    <row r="718" customFormat="1" ht="15.75" customHeight="1" x14ac:dyDescent="0.2"/>
    <row r="719" customFormat="1" ht="15.75" customHeight="1" x14ac:dyDescent="0.2"/>
    <row r="720" customFormat="1" ht="15.75" customHeight="1" x14ac:dyDescent="0.2"/>
    <row r="721" customFormat="1" ht="15.75" customHeight="1" x14ac:dyDescent="0.2"/>
    <row r="722" customFormat="1" ht="15.75" customHeight="1" x14ac:dyDescent="0.2"/>
    <row r="723" customFormat="1" ht="15.75" customHeight="1" x14ac:dyDescent="0.2"/>
    <row r="724" customFormat="1" ht="15.75" customHeight="1" x14ac:dyDescent="0.2"/>
    <row r="725" customFormat="1" ht="15.75" customHeight="1" x14ac:dyDescent="0.2"/>
    <row r="726" customFormat="1" ht="15.75" customHeight="1" x14ac:dyDescent="0.2"/>
    <row r="727" customFormat="1" ht="15.75" customHeight="1" x14ac:dyDescent="0.2"/>
    <row r="728" customFormat="1" ht="15.75" customHeight="1" x14ac:dyDescent="0.2"/>
    <row r="729" customFormat="1" ht="15.75" customHeight="1" x14ac:dyDescent="0.2"/>
    <row r="730" customFormat="1" ht="15.75" customHeight="1" x14ac:dyDescent="0.2"/>
    <row r="731" customFormat="1" ht="15.75" customHeight="1" x14ac:dyDescent="0.2"/>
    <row r="732" customFormat="1" ht="15.75" customHeight="1" x14ac:dyDescent="0.2"/>
    <row r="733" customFormat="1" ht="15.75" customHeight="1" x14ac:dyDescent="0.2"/>
    <row r="734" customFormat="1" ht="15.75" customHeight="1" x14ac:dyDescent="0.2"/>
    <row r="735" customFormat="1" ht="15.75" customHeight="1" x14ac:dyDescent="0.2"/>
    <row r="736" customFormat="1" ht="15.75" customHeight="1" x14ac:dyDescent="0.2"/>
    <row r="737" customFormat="1" ht="15.75" customHeight="1" x14ac:dyDescent="0.2"/>
    <row r="738" customFormat="1" ht="15.75" customHeight="1" x14ac:dyDescent="0.2"/>
    <row r="739" customFormat="1" ht="15.75" customHeight="1" x14ac:dyDescent="0.2"/>
    <row r="740" customFormat="1" ht="15.75" customHeight="1" x14ac:dyDescent="0.2"/>
    <row r="741" customFormat="1" ht="15.75" customHeight="1" x14ac:dyDescent="0.2"/>
    <row r="742" customFormat="1" ht="15.75" customHeight="1" x14ac:dyDescent="0.2"/>
    <row r="743" customFormat="1" ht="15.75" customHeight="1" x14ac:dyDescent="0.2"/>
    <row r="744" customFormat="1" ht="15.75" customHeight="1" x14ac:dyDescent="0.2"/>
    <row r="745" customFormat="1" ht="15.75" customHeight="1" x14ac:dyDescent="0.2"/>
    <row r="746" customFormat="1" ht="15.75" customHeight="1" x14ac:dyDescent="0.2"/>
    <row r="747" customFormat="1" ht="15.75" customHeight="1" x14ac:dyDescent="0.2"/>
    <row r="748" customFormat="1" ht="15.75" customHeight="1" x14ac:dyDescent="0.2"/>
    <row r="749" customFormat="1" ht="15.75" customHeight="1" x14ac:dyDescent="0.2"/>
    <row r="750" customFormat="1" ht="15.75" customHeight="1" x14ac:dyDescent="0.2"/>
    <row r="751" customFormat="1" ht="15.75" customHeight="1" x14ac:dyDescent="0.2"/>
    <row r="752" customFormat="1" ht="15.75" customHeight="1" x14ac:dyDescent="0.2"/>
    <row r="753" customFormat="1" ht="15.75" customHeight="1" x14ac:dyDescent="0.2"/>
    <row r="754" customFormat="1" ht="15.75" customHeight="1" x14ac:dyDescent="0.2"/>
    <row r="755" customFormat="1" ht="15.75" customHeight="1" x14ac:dyDescent="0.2"/>
    <row r="756" customFormat="1" ht="15.75" customHeight="1" x14ac:dyDescent="0.2"/>
    <row r="757" customFormat="1" ht="15.75" customHeight="1" x14ac:dyDescent="0.2"/>
    <row r="758" customFormat="1" ht="15.75" customHeight="1" x14ac:dyDescent="0.2"/>
    <row r="759" customFormat="1" ht="15.75" customHeight="1" x14ac:dyDescent="0.2"/>
    <row r="760" customFormat="1" ht="15.75" customHeight="1" x14ac:dyDescent="0.2"/>
    <row r="761" customFormat="1" ht="15.75" customHeight="1" x14ac:dyDescent="0.2"/>
    <row r="762" customFormat="1" ht="15.75" customHeight="1" x14ac:dyDescent="0.2"/>
    <row r="763" customFormat="1" ht="15.75" customHeight="1" x14ac:dyDescent="0.2"/>
    <row r="764" customFormat="1" ht="15.75" customHeight="1" x14ac:dyDescent="0.2"/>
    <row r="765" customFormat="1" ht="15.75" customHeight="1" x14ac:dyDescent="0.2"/>
    <row r="766" customFormat="1" ht="15.75" customHeight="1" x14ac:dyDescent="0.2"/>
    <row r="767" customFormat="1" ht="15.75" customHeight="1" x14ac:dyDescent="0.2"/>
    <row r="768" customFormat="1" ht="15.75" customHeight="1" x14ac:dyDescent="0.2"/>
    <row r="769" customFormat="1" ht="15.75" customHeight="1" x14ac:dyDescent="0.2"/>
    <row r="770" customFormat="1" ht="15.75" customHeight="1" x14ac:dyDescent="0.2"/>
    <row r="771" customFormat="1" ht="15.75" customHeight="1" x14ac:dyDescent="0.2"/>
    <row r="772" customFormat="1" ht="15.75" customHeight="1" x14ac:dyDescent="0.2"/>
    <row r="773" customFormat="1" ht="15.75" customHeight="1" x14ac:dyDescent="0.2"/>
    <row r="774" customFormat="1" ht="15.75" customHeight="1" x14ac:dyDescent="0.2"/>
    <row r="775" customFormat="1" ht="15.75" customHeight="1" x14ac:dyDescent="0.2"/>
    <row r="776" customFormat="1" ht="15.75" customHeight="1" x14ac:dyDescent="0.2"/>
    <row r="777" customFormat="1" ht="15.75" customHeight="1" x14ac:dyDescent="0.2"/>
    <row r="778" customFormat="1" ht="15.75" customHeight="1" x14ac:dyDescent="0.2"/>
    <row r="779" customFormat="1" ht="15.75" customHeight="1" x14ac:dyDescent="0.2"/>
    <row r="780" customFormat="1" ht="15.75" customHeight="1" x14ac:dyDescent="0.2"/>
    <row r="781" customFormat="1" ht="15.75" customHeight="1" x14ac:dyDescent="0.2"/>
    <row r="782" customFormat="1" ht="15.75" customHeight="1" x14ac:dyDescent="0.2"/>
    <row r="783" customFormat="1" ht="15.75" customHeight="1" x14ac:dyDescent="0.2"/>
    <row r="784" customFormat="1" ht="15.75" customHeight="1" x14ac:dyDescent="0.2"/>
    <row r="785" customFormat="1" ht="15.75" customHeight="1" x14ac:dyDescent="0.2"/>
    <row r="786" customFormat="1" ht="15.75" customHeight="1" x14ac:dyDescent="0.2"/>
    <row r="787" customFormat="1" ht="15.75" customHeight="1" x14ac:dyDescent="0.2"/>
    <row r="788" customFormat="1" ht="15.75" customHeight="1" x14ac:dyDescent="0.2"/>
    <row r="789" customFormat="1" ht="15.75" customHeight="1" x14ac:dyDescent="0.2"/>
    <row r="790" customFormat="1" ht="15" customHeight="1" x14ac:dyDescent="0.2"/>
    <row r="791" customFormat="1" ht="15" customHeight="1" x14ac:dyDescent="0.2"/>
    <row r="792" customFormat="1" ht="15" customHeight="1" x14ac:dyDescent="0.2"/>
    <row r="793" customFormat="1" ht="15" customHeight="1" x14ac:dyDescent="0.2"/>
    <row r="794" customFormat="1" ht="15" customHeight="1" x14ac:dyDescent="0.2"/>
    <row r="795" customFormat="1" ht="15" customHeight="1" x14ac:dyDescent="0.2"/>
    <row r="796" customFormat="1" ht="15" customHeight="1" x14ac:dyDescent="0.2"/>
    <row r="797" customFormat="1" ht="15" customHeight="1" x14ac:dyDescent="0.2"/>
    <row r="798" customFormat="1" ht="15" customHeight="1" x14ac:dyDescent="0.2"/>
    <row r="799" customFormat="1" ht="15" customHeight="1" x14ac:dyDescent="0.2"/>
    <row r="800" customFormat="1" ht="15" customHeight="1" x14ac:dyDescent="0.2"/>
    <row r="801" customFormat="1" ht="15" customHeight="1" x14ac:dyDescent="0.2"/>
    <row r="802" customFormat="1" ht="15" customHeight="1" x14ac:dyDescent="0.2"/>
    <row r="803" customFormat="1" ht="15" customHeight="1" x14ac:dyDescent="0.2"/>
    <row r="804" customFormat="1" ht="15" customHeight="1" x14ac:dyDescent="0.2"/>
    <row r="805" customFormat="1" ht="15" customHeight="1" x14ac:dyDescent="0.2"/>
    <row r="806" customFormat="1" ht="15" customHeight="1" x14ac:dyDescent="0.2"/>
    <row r="807" customFormat="1" ht="15" customHeight="1" x14ac:dyDescent="0.2"/>
    <row r="808" customFormat="1" ht="15" customHeight="1" x14ac:dyDescent="0.2"/>
    <row r="809" customFormat="1" ht="15" customHeight="1" x14ac:dyDescent="0.2"/>
    <row r="810" customFormat="1" ht="15" customHeight="1" x14ac:dyDescent="0.2"/>
    <row r="811" customFormat="1" ht="15" customHeight="1" x14ac:dyDescent="0.2"/>
    <row r="812" customFormat="1" ht="15" customHeight="1" x14ac:dyDescent="0.2"/>
    <row r="813" customFormat="1" ht="15" customHeight="1" x14ac:dyDescent="0.2"/>
    <row r="814" customFormat="1" ht="15" customHeight="1" x14ac:dyDescent="0.2"/>
    <row r="815" customFormat="1" ht="15" customHeight="1" x14ac:dyDescent="0.2"/>
    <row r="816" customFormat="1" ht="15" customHeight="1" x14ac:dyDescent="0.2"/>
    <row r="817" customFormat="1" ht="15" customHeight="1" x14ac:dyDescent="0.2"/>
    <row r="818" customFormat="1" ht="15" customHeight="1" x14ac:dyDescent="0.2"/>
    <row r="819" customFormat="1" ht="15" customHeight="1" x14ac:dyDescent="0.2"/>
    <row r="820" customFormat="1" ht="15" customHeight="1" x14ac:dyDescent="0.2"/>
    <row r="821" customFormat="1" ht="15" customHeight="1" x14ac:dyDescent="0.2"/>
    <row r="822" customFormat="1" ht="15" customHeight="1" x14ac:dyDescent="0.2"/>
    <row r="823" customFormat="1" ht="15" customHeight="1" x14ac:dyDescent="0.2"/>
    <row r="824" customFormat="1" ht="15" customHeight="1" x14ac:dyDescent="0.2"/>
    <row r="825" customFormat="1" ht="15" customHeight="1" x14ac:dyDescent="0.2"/>
    <row r="826" customFormat="1" ht="15" customHeight="1" x14ac:dyDescent="0.2"/>
    <row r="827" customFormat="1" ht="15" customHeight="1" x14ac:dyDescent="0.2"/>
    <row r="828" customFormat="1" ht="15" customHeight="1" x14ac:dyDescent="0.2"/>
    <row r="829" customFormat="1" ht="15" customHeight="1" x14ac:dyDescent="0.2"/>
    <row r="830" customFormat="1" ht="15" customHeight="1" x14ac:dyDescent="0.2"/>
    <row r="831" customFormat="1" ht="15" customHeight="1" x14ac:dyDescent="0.2"/>
    <row r="832" customFormat="1" ht="15" customHeight="1" x14ac:dyDescent="0.2"/>
    <row r="833" customFormat="1" ht="15" customHeight="1" x14ac:dyDescent="0.2"/>
    <row r="834" customFormat="1" ht="15" customHeight="1" x14ac:dyDescent="0.2"/>
    <row r="835" customFormat="1" ht="15" customHeight="1" x14ac:dyDescent="0.2"/>
    <row r="836" customFormat="1" ht="15" customHeight="1" x14ac:dyDescent="0.2"/>
    <row r="837" customFormat="1" ht="15" customHeight="1" x14ac:dyDescent="0.2"/>
    <row r="838" customFormat="1" ht="15" customHeight="1" x14ac:dyDescent="0.2"/>
    <row r="839" customFormat="1" ht="15" customHeight="1" x14ac:dyDescent="0.2"/>
    <row r="840" customFormat="1" ht="15" customHeight="1" x14ac:dyDescent="0.2"/>
    <row r="841" customFormat="1" ht="15" customHeight="1" x14ac:dyDescent="0.2"/>
    <row r="842" customFormat="1" ht="15" customHeight="1" x14ac:dyDescent="0.2"/>
    <row r="843" customFormat="1" ht="15" customHeight="1" x14ac:dyDescent="0.2"/>
    <row r="844" customFormat="1" ht="15" customHeight="1" x14ac:dyDescent="0.2"/>
    <row r="845" customFormat="1" ht="15" customHeight="1" x14ac:dyDescent="0.2"/>
    <row r="846" customFormat="1" ht="15" customHeight="1" x14ac:dyDescent="0.2"/>
    <row r="847" customFormat="1" ht="15" customHeight="1" x14ac:dyDescent="0.2"/>
    <row r="848" customFormat="1" ht="15" customHeight="1" x14ac:dyDescent="0.2"/>
    <row r="849" customFormat="1" ht="15" customHeight="1" x14ac:dyDescent="0.2"/>
    <row r="850" customFormat="1" ht="15" customHeight="1" x14ac:dyDescent="0.2"/>
    <row r="851" customFormat="1" ht="15" customHeight="1" x14ac:dyDescent="0.2"/>
    <row r="852" customFormat="1" ht="15" customHeight="1" x14ac:dyDescent="0.2"/>
    <row r="853" customFormat="1" ht="15" customHeight="1" x14ac:dyDescent="0.2"/>
    <row r="854" customFormat="1" ht="15" customHeight="1" x14ac:dyDescent="0.2"/>
    <row r="855" customFormat="1" ht="15" customHeight="1" x14ac:dyDescent="0.2"/>
    <row r="856" customFormat="1" ht="15" customHeight="1" x14ac:dyDescent="0.2"/>
    <row r="857" customFormat="1" ht="15" customHeight="1" x14ac:dyDescent="0.2"/>
    <row r="858" customFormat="1" ht="15" customHeight="1" x14ac:dyDescent="0.2"/>
    <row r="859" customFormat="1" ht="15" customHeight="1" x14ac:dyDescent="0.2"/>
    <row r="860" customFormat="1" ht="15" customHeight="1" x14ac:dyDescent="0.2"/>
    <row r="861" customFormat="1" ht="15" customHeight="1" x14ac:dyDescent="0.2"/>
    <row r="862" customFormat="1" ht="15" customHeight="1" x14ac:dyDescent="0.2"/>
    <row r="863" customFormat="1" ht="15" customHeight="1" x14ac:dyDescent="0.2"/>
    <row r="864" customFormat="1" ht="15" customHeight="1" x14ac:dyDescent="0.2"/>
    <row r="865" customFormat="1" ht="15" customHeight="1" x14ac:dyDescent="0.2"/>
    <row r="866" customFormat="1" ht="15" customHeight="1" x14ac:dyDescent="0.2"/>
    <row r="867" customFormat="1" ht="15" customHeight="1" x14ac:dyDescent="0.2"/>
    <row r="868" customFormat="1" ht="15" customHeight="1" x14ac:dyDescent="0.2"/>
    <row r="869" customFormat="1" ht="15" customHeight="1" x14ac:dyDescent="0.2"/>
    <row r="870" customFormat="1" ht="15" customHeight="1" x14ac:dyDescent="0.2"/>
    <row r="871" customFormat="1" ht="15" customHeight="1" x14ac:dyDescent="0.2"/>
    <row r="872" customFormat="1" ht="15" customHeight="1" x14ac:dyDescent="0.2"/>
    <row r="873" customFormat="1" ht="15" customHeight="1" x14ac:dyDescent="0.2"/>
    <row r="874" customFormat="1" ht="15" customHeight="1" x14ac:dyDescent="0.2"/>
    <row r="875" customFormat="1" ht="15" customHeight="1" x14ac:dyDescent="0.2"/>
    <row r="876" customFormat="1" ht="15" customHeight="1" x14ac:dyDescent="0.2"/>
    <row r="877" customFormat="1" ht="15" customHeight="1" x14ac:dyDescent="0.2"/>
    <row r="878" customFormat="1" ht="15" customHeight="1" x14ac:dyDescent="0.2"/>
    <row r="879" customFormat="1" ht="15" customHeight="1" x14ac:dyDescent="0.2"/>
    <row r="880" customFormat="1" ht="15" customHeight="1" x14ac:dyDescent="0.2"/>
    <row r="881" customFormat="1" ht="15" customHeight="1" x14ac:dyDescent="0.2"/>
    <row r="882" customFormat="1" ht="15" customHeight="1" x14ac:dyDescent="0.2"/>
    <row r="883" customFormat="1" ht="15" customHeight="1" x14ac:dyDescent="0.2"/>
    <row r="884" customFormat="1" ht="15" customHeight="1" x14ac:dyDescent="0.2"/>
    <row r="885" customFormat="1" ht="15" customHeight="1" x14ac:dyDescent="0.2"/>
    <row r="886" customFormat="1" ht="15" customHeight="1" x14ac:dyDescent="0.2"/>
    <row r="887" customFormat="1" ht="15" customHeight="1" x14ac:dyDescent="0.2"/>
    <row r="888" customFormat="1" ht="15" customHeight="1" x14ac:dyDescent="0.2"/>
    <row r="889" customFormat="1" ht="15" customHeight="1" x14ac:dyDescent="0.2"/>
    <row r="890" customFormat="1" ht="15" customHeight="1" x14ac:dyDescent="0.2"/>
    <row r="891" customFormat="1" ht="15" customHeight="1" x14ac:dyDescent="0.2"/>
    <row r="892" customFormat="1" ht="15" customHeight="1" x14ac:dyDescent="0.2"/>
    <row r="893" customFormat="1" ht="15" customHeight="1" x14ac:dyDescent="0.2"/>
    <row r="894" customFormat="1" ht="15" customHeight="1" x14ac:dyDescent="0.2"/>
    <row r="895" customFormat="1" ht="15" customHeight="1" x14ac:dyDescent="0.2"/>
    <row r="896" customFormat="1" ht="15" customHeight="1" x14ac:dyDescent="0.2"/>
    <row r="897" customFormat="1" ht="15" customHeight="1" x14ac:dyDescent="0.2"/>
    <row r="898" customFormat="1" ht="15" customHeight="1" x14ac:dyDescent="0.2"/>
    <row r="899" customFormat="1" ht="15" customHeight="1" x14ac:dyDescent="0.2"/>
    <row r="900" customFormat="1" ht="15" customHeight="1" x14ac:dyDescent="0.2"/>
    <row r="901" customFormat="1" ht="15" customHeight="1" x14ac:dyDescent="0.2"/>
    <row r="902" customFormat="1" ht="15" customHeight="1" x14ac:dyDescent="0.2"/>
    <row r="903" customFormat="1" ht="15" customHeight="1" x14ac:dyDescent="0.2"/>
    <row r="904" customFormat="1" ht="15" customHeight="1" x14ac:dyDescent="0.2"/>
    <row r="905" customFormat="1" ht="15" customHeight="1" x14ac:dyDescent="0.2"/>
    <row r="906" customFormat="1" ht="15" customHeight="1" x14ac:dyDescent="0.2"/>
    <row r="907" customFormat="1" ht="15" customHeight="1" x14ac:dyDescent="0.2"/>
    <row r="908" customFormat="1" ht="15" customHeight="1" x14ac:dyDescent="0.2"/>
    <row r="909" customFormat="1" ht="15" customHeight="1" x14ac:dyDescent="0.2"/>
    <row r="910" customFormat="1" ht="15" customHeight="1" x14ac:dyDescent="0.2"/>
    <row r="911" customFormat="1" ht="15" customHeight="1" x14ac:dyDescent="0.2"/>
    <row r="912" customFormat="1" ht="15" customHeight="1" x14ac:dyDescent="0.2"/>
    <row r="913" customFormat="1" ht="15" customHeight="1" x14ac:dyDescent="0.2"/>
    <row r="914" customFormat="1" ht="15" customHeight="1" x14ac:dyDescent="0.2"/>
    <row r="915" customFormat="1" ht="15" customHeight="1" x14ac:dyDescent="0.2"/>
    <row r="916" customFormat="1" ht="15" customHeight="1" x14ac:dyDescent="0.2"/>
    <row r="917" customFormat="1" ht="15" customHeight="1" x14ac:dyDescent="0.2"/>
    <row r="918" customFormat="1" ht="15" customHeight="1" x14ac:dyDescent="0.2"/>
    <row r="919" customFormat="1" ht="15" customHeight="1" x14ac:dyDescent="0.2"/>
    <row r="920" customFormat="1" ht="15" customHeight="1" x14ac:dyDescent="0.2"/>
    <row r="921" customFormat="1" ht="15" customHeight="1" x14ac:dyDescent="0.2"/>
    <row r="922" customFormat="1" ht="15" customHeight="1" x14ac:dyDescent="0.2"/>
    <row r="923" customFormat="1" ht="15" customHeight="1" x14ac:dyDescent="0.2"/>
    <row r="924" customFormat="1" ht="15" customHeight="1" x14ac:dyDescent="0.2"/>
    <row r="925" customFormat="1" ht="15" customHeight="1" x14ac:dyDescent="0.2"/>
    <row r="926" customFormat="1" ht="15" customHeight="1" x14ac:dyDescent="0.2"/>
    <row r="927" customFormat="1" ht="15" customHeight="1" x14ac:dyDescent="0.2"/>
    <row r="928" customFormat="1" ht="15" customHeight="1" x14ac:dyDescent="0.2"/>
    <row r="929" customFormat="1" ht="15" customHeight="1" x14ac:dyDescent="0.2"/>
    <row r="930" customFormat="1" ht="15" customHeight="1" x14ac:dyDescent="0.2"/>
    <row r="931" customFormat="1" ht="15" customHeight="1" x14ac:dyDescent="0.2"/>
    <row r="932" customFormat="1" ht="15" customHeight="1" x14ac:dyDescent="0.2"/>
    <row r="933" customFormat="1" ht="15" customHeight="1" x14ac:dyDescent="0.2"/>
    <row r="934" customFormat="1" ht="15" customHeight="1" x14ac:dyDescent="0.2"/>
    <row r="935" customFormat="1" ht="15" customHeight="1" x14ac:dyDescent="0.2"/>
    <row r="936" customFormat="1" ht="15" customHeight="1" x14ac:dyDescent="0.2"/>
    <row r="937" customFormat="1" ht="15" customHeight="1" x14ac:dyDescent="0.2"/>
    <row r="938" customFormat="1" ht="15" customHeight="1" x14ac:dyDescent="0.2"/>
    <row r="939" customFormat="1" ht="15" customHeight="1" x14ac:dyDescent="0.2"/>
    <row r="940" customFormat="1" ht="15" customHeight="1" x14ac:dyDescent="0.2"/>
    <row r="941" customFormat="1" ht="15" customHeight="1" x14ac:dyDescent="0.2"/>
    <row r="942" customFormat="1" ht="15" customHeight="1" x14ac:dyDescent="0.2"/>
    <row r="943" customFormat="1" ht="15" customHeight="1" x14ac:dyDescent="0.2"/>
    <row r="944" customFormat="1" ht="15" customHeight="1" x14ac:dyDescent="0.2"/>
    <row r="945" customFormat="1" ht="15" customHeight="1" x14ac:dyDescent="0.2"/>
    <row r="946" customFormat="1" ht="15" customHeight="1" x14ac:dyDescent="0.2"/>
    <row r="947" customFormat="1" ht="15" customHeight="1" x14ac:dyDescent="0.2"/>
    <row r="948" customFormat="1" ht="15" customHeight="1" x14ac:dyDescent="0.2"/>
    <row r="949" customFormat="1" ht="15" customHeight="1" x14ac:dyDescent="0.2"/>
    <row r="950" customFormat="1" ht="15" customHeight="1" x14ac:dyDescent="0.2"/>
    <row r="951" customFormat="1" ht="15" customHeight="1" x14ac:dyDescent="0.2"/>
    <row r="952" customFormat="1" ht="15" customHeight="1" x14ac:dyDescent="0.2"/>
    <row r="953" customFormat="1" ht="15" customHeight="1" x14ac:dyDescent="0.2"/>
    <row r="954" customFormat="1" ht="15" customHeight="1" x14ac:dyDescent="0.2"/>
    <row r="955" customFormat="1" ht="15" customHeight="1" x14ac:dyDescent="0.2"/>
    <row r="956" customFormat="1" ht="15" customHeight="1" x14ac:dyDescent="0.2"/>
    <row r="957" customFormat="1" ht="15" customHeight="1" x14ac:dyDescent="0.2"/>
    <row r="958" customFormat="1" ht="15" customHeight="1" x14ac:dyDescent="0.2"/>
    <row r="959" customFormat="1" ht="15" customHeight="1" x14ac:dyDescent="0.2"/>
    <row r="960" customFormat="1" ht="15" customHeight="1" x14ac:dyDescent="0.2"/>
    <row r="961" customFormat="1" ht="15" customHeight="1" x14ac:dyDescent="0.2"/>
    <row r="962" customFormat="1" ht="15" customHeight="1" x14ac:dyDescent="0.2"/>
    <row r="963" customFormat="1" ht="15" customHeight="1" x14ac:dyDescent="0.2"/>
    <row r="964" customFormat="1" ht="15" customHeight="1" x14ac:dyDescent="0.2"/>
    <row r="965" customFormat="1" ht="15" customHeight="1" x14ac:dyDescent="0.2"/>
    <row r="966" customFormat="1" ht="15" customHeight="1" x14ac:dyDescent="0.2"/>
    <row r="967" customFormat="1" ht="15" customHeight="1" x14ac:dyDescent="0.2"/>
    <row r="968" customFormat="1" ht="15" customHeight="1" x14ac:dyDescent="0.2"/>
    <row r="969" customFormat="1" ht="15" customHeight="1" x14ac:dyDescent="0.2"/>
    <row r="970" customFormat="1" ht="15" customHeight="1" x14ac:dyDescent="0.2"/>
    <row r="971" customFormat="1" ht="15" customHeight="1" x14ac:dyDescent="0.2"/>
    <row r="972" customFormat="1" ht="15" customHeight="1" x14ac:dyDescent="0.2"/>
    <row r="973" customFormat="1" ht="15" customHeight="1" x14ac:dyDescent="0.2"/>
    <row r="974" customFormat="1" ht="15" customHeight="1" x14ac:dyDescent="0.2"/>
    <row r="975" customFormat="1" ht="15" customHeight="1" x14ac:dyDescent="0.2"/>
    <row r="976" customFormat="1" ht="15" customHeight="1" x14ac:dyDescent="0.2"/>
    <row r="977" customFormat="1" ht="15" customHeight="1" x14ac:dyDescent="0.2"/>
    <row r="978" customFormat="1" ht="15" customHeight="1" x14ac:dyDescent="0.2"/>
    <row r="979" customFormat="1" ht="15" customHeight="1" x14ac:dyDescent="0.2"/>
    <row r="980" customFormat="1" ht="15" customHeight="1" x14ac:dyDescent="0.2"/>
    <row r="981" customFormat="1" ht="15" customHeight="1" x14ac:dyDescent="0.2"/>
    <row r="982" customFormat="1" ht="15" customHeight="1" x14ac:dyDescent="0.2"/>
    <row r="983" customFormat="1" ht="15" customHeight="1" x14ac:dyDescent="0.2"/>
    <row r="984" customFormat="1" ht="15" customHeight="1" x14ac:dyDescent="0.2"/>
    <row r="985" customFormat="1" ht="15" customHeight="1" x14ac:dyDescent="0.2"/>
    <row r="986" customFormat="1" ht="15" customHeight="1" x14ac:dyDescent="0.2"/>
    <row r="987" customFormat="1" ht="15" customHeight="1" x14ac:dyDescent="0.2"/>
    <row r="988" customFormat="1" ht="15" customHeight="1" x14ac:dyDescent="0.2"/>
    <row r="989" customFormat="1" ht="15" customHeight="1" x14ac:dyDescent="0.2"/>
    <row r="990" customFormat="1" ht="15" customHeight="1" x14ac:dyDescent="0.2"/>
    <row r="991" customFormat="1" ht="15" customHeight="1" x14ac:dyDescent="0.2"/>
    <row r="992" customFormat="1" ht="15" customHeight="1" x14ac:dyDescent="0.2"/>
    <row r="993" customFormat="1" ht="15" customHeight="1" x14ac:dyDescent="0.2"/>
    <row r="994" customFormat="1" ht="15" customHeight="1" x14ac:dyDescent="0.2"/>
    <row r="995" customFormat="1" ht="15" customHeight="1" x14ac:dyDescent="0.2"/>
    <row r="996" customFormat="1" ht="15" customHeight="1" x14ac:dyDescent="0.2"/>
    <row r="997" customFormat="1" ht="15" customHeight="1" x14ac:dyDescent="0.2"/>
    <row r="998" customFormat="1" ht="15" customHeight="1" x14ac:dyDescent="0.2"/>
    <row r="999" customFormat="1" ht="15" customHeight="1" x14ac:dyDescent="0.2"/>
    <row r="1000" customFormat="1" ht="15" customHeight="1" x14ac:dyDescent="0.2"/>
    <row r="1001" customFormat="1" ht="15" customHeight="1" x14ac:dyDescent="0.2"/>
    <row r="1002" customFormat="1" ht="15" customHeight="1" x14ac:dyDescent="0.2"/>
    <row r="1003" customFormat="1" ht="15" customHeight="1" x14ac:dyDescent="0.2"/>
    <row r="1004" customFormat="1" ht="15" customHeight="1" x14ac:dyDescent="0.2"/>
    <row r="1005" customFormat="1" ht="15" customHeight="1" x14ac:dyDescent="0.2"/>
    <row r="1006" customFormat="1" ht="15" customHeight="1" x14ac:dyDescent="0.2"/>
    <row r="1007" customFormat="1" ht="15" customHeight="1" x14ac:dyDescent="0.2"/>
    <row r="1008" customFormat="1" ht="15" customHeight="1" x14ac:dyDescent="0.2"/>
    <row r="1009" customFormat="1" ht="15" customHeight="1" x14ac:dyDescent="0.2"/>
    <row r="1010" customFormat="1" ht="15" customHeight="1" x14ac:dyDescent="0.2"/>
    <row r="1011" customFormat="1" ht="15" customHeight="1" x14ac:dyDescent="0.2"/>
    <row r="1012" customFormat="1" ht="15" customHeight="1" x14ac:dyDescent="0.2"/>
  </sheetData>
  <mergeCells count="14">
    <mergeCell ref="H8:H9"/>
    <mergeCell ref="I8:I9"/>
    <mergeCell ref="J8:J9"/>
    <mergeCell ref="B6:D6"/>
    <mergeCell ref="B7:D7"/>
    <mergeCell ref="U8:U9"/>
    <mergeCell ref="V8:V9"/>
    <mergeCell ref="W8:W9"/>
    <mergeCell ref="X8:X9"/>
    <mergeCell ref="K8:M8"/>
    <mergeCell ref="N8:O8"/>
    <mergeCell ref="P8:P9"/>
    <mergeCell ref="Q8:R8"/>
    <mergeCell ref="S8:T8"/>
  </mergeCells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EEB93-1A83-C14F-9F8F-4562EF537FA1}">
  <dimension ref="B2:R1014"/>
  <sheetViews>
    <sheetView topLeftCell="B2" workbookViewId="0">
      <selection activeCell="J17" sqref="J17"/>
    </sheetView>
  </sheetViews>
  <sheetFormatPr baseColWidth="10" defaultColWidth="12.6640625" defaultRowHeight="16" x14ac:dyDescent="0.2"/>
  <cols>
    <col min="1" max="1" width="7.6640625" customWidth="1"/>
    <col min="2" max="2" width="64.5" customWidth="1"/>
    <col min="3" max="3" width="19.33203125" customWidth="1"/>
    <col min="4" max="5" width="7.6640625" customWidth="1"/>
    <col min="9" max="9" width="34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bestFit="1" customWidth="1"/>
    <col min="15" max="15" width="16" bestFit="1" customWidth="1"/>
    <col min="16" max="16" width="16" customWidth="1"/>
    <col min="17" max="17" width="16" customWidth="1"/>
  </cols>
  <sheetData>
    <row r="1" ht="16" customHeight="1"/>
    <row r="2" spans="2:17" ht="15" customHeight="1" x14ac:dyDescent="0.2">
      <c r="I2" t="inlineStr">
        <is>
          <t xml:space="preserve">Exercício 1 · Indústria de Bicicletas Pedal Sul Ltda. · Custeio por absorção integral e ideal</t>
        </is>
      </c>
    </row>
    <row r="3" spans="2:17" hidden="1" x14ac:dyDescent="0.2" ht="16" customHeight="1"/>
    <row r="4" spans="2:17" ht="46" customHeight="1" x14ac:dyDescent="0.2">
      <c r="B4" s="150"/>
      <c r="C4" s="151"/>
      <c r="D4" s="151"/>
    </row>
    <row r="5" spans="2:17" x14ac:dyDescent="0.2" ht="16" customHeight="1">
      <c r="B5" s="152"/>
      <c r="C5" s="153"/>
      <c r="D5" s="153"/>
      <c r="E5" s="76"/>
      <c r="F5" s="76"/>
      <c r="G5" s="76"/>
      <c r="H5" s="76"/>
    </row>
    <row r="6" spans="2:17" ht="19" x14ac:dyDescent="0.25">
      <c r="B6" s="143" t="s">
        <v>19</v>
      </c>
      <c r="C6" s="37" t="s">
        <v>20</v>
      </c>
      <c r="D6" s="144" t="s">
        <v>14</v>
      </c>
      <c r="E6" s="76"/>
      <c r="F6" s="76"/>
      <c r="G6" s="76"/>
      <c r="H6" s="76"/>
      <c r="I6" s="149"/>
      <c r="J6" s="149"/>
      <c r="K6" s="149"/>
      <c r="L6" s="149"/>
      <c r="M6" s="149"/>
      <c r="N6" s="149"/>
      <c r="O6" s="149"/>
      <c r="P6" s="149"/>
      <c r="Q6" s="149"/>
    </row>
    <row r="7" spans="2:17" ht="20" thickBot="1" x14ac:dyDescent="0.3">
      <c r="B7" s="105"/>
      <c r="C7" s="76"/>
      <c r="D7" s="76"/>
      <c r="E7" s="76"/>
      <c r="F7" s="76"/>
      <c r="G7" s="76"/>
      <c r="H7" s="76"/>
      <c r="I7" s="63" t="s">
        <v>23</v>
      </c>
      <c r="J7" s="145" t="s">
        <v>26</v>
      </c>
      <c r="K7" s="64" t="s">
        <v>11</v>
      </c>
      <c r="L7" s="64" t="s">
        <v>3</v>
      </c>
      <c r="M7" s="64" t="s">
        <v>2</v>
      </c>
      <c r="N7" s="64" t="s">
        <v>24</v>
      </c>
      <c r="O7" s="64" t="s">
        <v>8</v>
      </c>
      <c r="P7" s="64" t="s">
        <v>9</v>
      </c>
      <c r="Q7" s="65" t="s">
        <v>25</v>
      </c>
    </row>
    <row r="8" spans="2:17" ht="18" thickTop="1" thickBot="1" x14ac:dyDescent="0.25">
      <c r="B8" s="126" t="s">
        <v>21</v>
      </c>
      <c r="C8" s="177">
        <v>2400000</v>
      </c>
      <c r="D8" s="201">
        <f>C8/$C$8</f>
        <v>1.0</v>
      </c>
      <c r="E8" s="76"/>
      <c r="F8" s="76"/>
      <c r="G8" s="76"/>
      <c r="H8" s="76"/>
      <c r="I8" s="106" t="inlineStr">
        <is>
          <t xml:space="preserve">A · Mountain bike aro 29</t>
        </is>
      </c>
      <c r="J8" s="206">
        <v>1000</v>
      </c>
      <c r="K8" s="207">
        <v>620</v>
      </c>
      <c r="L8" s="208">
        <f>$C$10/$C$8</f>
        <v>0.25</v>
      </c>
      <c r="M8" s="208">
        <f>($C$18-$C$19)/$C$8</f>
        <v>0.09</v>
      </c>
      <c r="N8" s="207">
        <f>$C$33/SUM($J$8:$J$12)</f>
        <v>168.392857142857</v>
      </c>
      <c r="O8" s="207">
        <f>(K8+N8)/(1-(L8+M8))</f>
        <v>1194.53463203463</v>
      </c>
      <c r="P8" s="208">
        <v>0.15</v>
      </c>
      <c r="Q8" s="209">
        <f>(K8+N8)/(1-(L8+M8+P8))</f>
        <v>1545.86834733894</v>
      </c>
    </row>
    <row r="9" spans="2:17" ht="17" thickBot="1" x14ac:dyDescent="0.25">
      <c r="B9" s="77"/>
      <c r="C9" s="78"/>
      <c r="D9" s="79"/>
      <c r="E9" s="76"/>
      <c r="F9" s="76"/>
      <c r="G9" s="76"/>
      <c r="H9" s="76"/>
      <c r="I9" s="106" t="inlineStr">
        <is>
          <t xml:space="preserve">B · Bicicleta urbana aro 26</t>
        </is>
      </c>
      <c r="J9" s="206">
        <v>1800</v>
      </c>
      <c r="K9" s="207">
        <v>280</v>
      </c>
      <c r="L9" s="208">
        <f>$C$10/$C$8</f>
        <v>0.25</v>
      </c>
      <c r="M9" s="208">
        <f>($C$18-$C$19)/$C$8</f>
        <v>0.09</v>
      </c>
      <c r="N9" s="207">
        <f>$C$33/SUM($J$8:$J$12)</f>
        <v>168.392857142857</v>
      </c>
      <c r="O9" s="207">
        <f>(K9+N9)/(1-(L9+M9))</f>
        <v>679.383116883117</v>
      </c>
      <c r="P9" s="208">
        <v>0.12</v>
      </c>
      <c r="Q9" s="209">
        <f>(K9+N9)/(1-(L9+M9+P9))</f>
        <v>830.357142857143</v>
      </c>
    </row>
    <row r="10" spans="2:17" ht="17" thickBot="1" x14ac:dyDescent="0.25">
      <c r="B10" s="126" t="s">
        <v>22</v>
      </c>
      <c r="C10" s="177">
        <f>SUM(C11:C17)</f>
        <v>600000.0</v>
      </c>
      <c r="D10" s="202">
        <f>C10/$C$8</f>
        <v>0.25</v>
      </c>
      <c r="E10" s="76"/>
      <c r="F10" s="76"/>
      <c r="G10" s="76"/>
      <c r="H10" s="76"/>
      <c r="I10" s="110"/>
      <c r="J10" s="147"/>
      <c r="K10" s="111"/>
      <c r="L10" s="112"/>
      <c r="M10" s="112"/>
      <c r="N10" s="111"/>
      <c r="O10" s="111"/>
      <c r="P10" s="112"/>
      <c r="Q10" s="113"/>
    </row>
    <row r="11" spans="2:17" x14ac:dyDescent="0.2" ht="16" customHeight="1">
      <c r="B11" s="128" t="inlineStr">
        <is>
          <t xml:space="preserve">Comissão sobre vendas</t>
        </is>
      </c>
      <c r="C11" s="180">
        <v>96000</v>
      </c>
      <c r="D11" s="204">
        <f>C11/$C$8</f>
        <v>0.04</v>
      </c>
      <c r="E11" s="76"/>
      <c r="F11" s="76"/>
      <c r="G11" s="76"/>
      <c r="H11" s="76"/>
      <c r="I11" s="110"/>
      <c r="J11" s="147"/>
      <c r="K11" s="111"/>
      <c r="L11" s="112"/>
      <c r="M11" s="112"/>
      <c r="N11" s="111"/>
      <c r="O11" s="111"/>
      <c r="P11" s="112"/>
      <c r="Q11" s="113"/>
    </row>
    <row r="12" spans="2:17" ht="17" thickBot="1" x14ac:dyDescent="0.25">
      <c r="B12" s="128" t="inlineStr">
        <is>
          <t xml:space="preserve">Despesas com publicidade proporcional às vendas</t>
        </is>
      </c>
      <c r="C12" s="180">
        <v>72000</v>
      </c>
      <c r="D12" s="204">
        <f>C12/$C$8</f>
        <v>0.03</v>
      </c>
      <c r="E12" s="76"/>
      <c r="F12" s="76"/>
      <c r="G12" s="76"/>
      <c r="H12" s="76"/>
      <c r="I12" s="114"/>
      <c r="J12" s="148"/>
      <c r="K12" s="115"/>
      <c r="L12" s="116"/>
      <c r="M12" s="116"/>
      <c r="N12" s="115"/>
      <c r="O12" s="115"/>
      <c r="P12" s="116"/>
      <c r="Q12" s="117"/>
    </row>
    <row r="13" spans="2:17" x14ac:dyDescent="0.2" ht="16" customHeight="1">
      <c r="B13" s="128" t="inlineStr">
        <is>
          <t xml:space="preserve">Frete de entrega</t>
        </is>
      </c>
      <c r="C13" s="180">
        <v>120000</v>
      </c>
      <c r="D13" s="204">
        <f>C13/$C$8</f>
        <v>0.05</v>
      </c>
      <c r="E13" s="76"/>
      <c r="F13" s="76"/>
      <c r="G13" s="76"/>
      <c r="H13" s="76"/>
      <c r="I13" s="76" t="inlineStr">
        <is>
          <t xml:space="preserve">Integral: QUANT. = produção do mês; CF unit = CF ÷ Σ produzido</t>
        </is>
      </c>
      <c r="J13" s="76"/>
      <c r="K13" s="76"/>
      <c r="L13" s="76"/>
      <c r="M13" s="76"/>
      <c r="N13" s="76"/>
      <c r="O13" s="76"/>
      <c r="P13" s="76"/>
      <c r="Q13" s="76"/>
    </row>
    <row r="14" spans="2:17" x14ac:dyDescent="0.2" ht="16" customHeight="1">
      <c r="B14" s="128" t="inlineStr">
        <is>
          <t xml:space="preserve">Impostos sobre as vendas</t>
        </is>
      </c>
      <c r="C14" s="180">
        <v>312000</v>
      </c>
      <c r="D14" s="204">
        <f>C14/$C$8</f>
        <v>0.13</v>
      </c>
      <c r="E14" s="76"/>
      <c r="F14" s="76"/>
      <c r="G14" s="76"/>
      <c r="H14" s="76"/>
    </row>
    <row r="15" spans="2:17" x14ac:dyDescent="0.2" ht="16" customHeight="1">
      <c r="B15" s="128"/>
      <c r="C15" s="82"/>
      <c r="D15" s="129"/>
      <c r="E15" s="76"/>
      <c r="F15" s="76"/>
      <c r="G15" s="76"/>
      <c r="H15" s="76"/>
    </row>
    <row r="16" spans="2:17" ht="19" x14ac:dyDescent="0.25">
      <c r="B16" s="130"/>
      <c r="C16" s="85"/>
      <c r="D16" s="129"/>
      <c r="E16" s="76"/>
      <c r="F16" s="76"/>
      <c r="G16" s="76"/>
      <c r="H16" s="76"/>
      <c r="I16" s="104"/>
      <c r="J16" s="104"/>
      <c r="K16" s="104"/>
      <c r="L16" s="104"/>
      <c r="M16" s="104"/>
      <c r="N16" s="104"/>
      <c r="O16" s="104"/>
      <c r="P16" s="104"/>
      <c r="Q16" s="104"/>
    </row>
    <row r="17" spans="2:18" ht="20" thickBot="1" x14ac:dyDescent="0.3">
      <c r="B17" s="130"/>
      <c r="C17" s="85"/>
      <c r="D17" s="129"/>
      <c r="E17" s="76"/>
      <c r="F17" s="76"/>
      <c r="G17" s="76"/>
      <c r="H17" s="76"/>
      <c r="I17" s="63" t="s">
        <v>23</v>
      </c>
      <c r="J17" s="145" t="s">
        <v>26</v>
      </c>
      <c r="K17" s="64" t="s">
        <v>11</v>
      </c>
      <c r="L17" s="64" t="s">
        <v>3</v>
      </c>
      <c r="M17" s="64" t="s">
        <v>2</v>
      </c>
      <c r="N17" s="64" t="s">
        <v>24</v>
      </c>
      <c r="O17" s="64" t="s">
        <v>8</v>
      </c>
      <c r="P17" s="64" t="s">
        <v>9</v>
      </c>
      <c r="Q17" s="65" t="s">
        <v>25</v>
      </c>
    </row>
    <row r="18" spans="2:18" ht="18" thickTop="1" thickBot="1" x14ac:dyDescent="0.25">
      <c r="B18" s="131"/>
      <c r="C18" s="177">
        <f>SUM(C19:C28)</f>
        <v>1166000.0</v>
      </c>
      <c r="D18" s="202">
        <f>C18/$C$8</f>
        <v>0.485833333333333</v>
      </c>
      <c r="E18" s="76"/>
      <c r="F18" s="76"/>
      <c r="G18" s="76"/>
      <c r="H18" s="76"/>
      <c r="I18" s="106" t="inlineStr">
        <is>
          <t xml:space="preserve">A · Mountain bike aro 29</t>
        </is>
      </c>
      <c r="J18" s="206">
        <v>900</v>
      </c>
      <c r="K18" s="207">
        <v>620</v>
      </c>
      <c r="L18" s="208">
        <f>$C$10/$C$8</f>
        <v>0.25</v>
      </c>
      <c r="M18" s="208">
        <f>($C$18-$C$19)/$C$8</f>
        <v>0.09</v>
      </c>
      <c r="N18" s="207">
        <f>$C$33/SUM($J$18:$J$23)</f>
        <v>205.0</v>
      </c>
      <c r="O18" s="207">
        <f>(K18+N18)/(1-(L18+M18))</f>
        <v>1250.0</v>
      </c>
      <c r="P18" s="208">
        <v>0.15</v>
      </c>
      <c r="Q18" s="209">
        <f>(K18+N18)/(1-(L18+M18+P18))</f>
        <v>1617.64705882353</v>
      </c>
      <c r="R18" s="76"/>
    </row>
    <row r="19" spans="2:18" x14ac:dyDescent="0.2" ht="16" customHeight="1">
      <c r="B19" s="128" t="inlineStr">
        <is>
          <t xml:space="preserve">Matéria-prima</t>
        </is>
      </c>
      <c r="C19" s="180">
        <v>950000</v>
      </c>
      <c r="D19" s="204">
        <f>C19/$C$8</f>
        <v>0.395833333333333</v>
      </c>
      <c r="E19" s="76"/>
      <c r="F19" s="76"/>
      <c r="G19" s="76"/>
      <c r="H19" s="76"/>
      <c r="I19" s="106" t="inlineStr">
        <is>
          <t xml:space="preserve">B · Bicicleta urbana aro 26</t>
        </is>
      </c>
      <c r="J19" s="206">
        <v>1400</v>
      </c>
      <c r="K19" s="207">
        <v>280</v>
      </c>
      <c r="L19" s="208">
        <f>$C$10/$C$8</f>
        <v>0.25</v>
      </c>
      <c r="M19" s="208">
        <f>($C$18-$C$19)/$C$8</f>
        <v>0.09</v>
      </c>
      <c r="N19" s="207">
        <f>$C$33/SUM($J$18:$J$23)</f>
        <v>205.0</v>
      </c>
      <c r="O19" s="207">
        <f>(K19+N19)/(1-(L19+M19))</f>
        <v>734.848484848485</v>
      </c>
      <c r="P19" s="208">
        <v>0.12</v>
      </c>
      <c r="Q19" s="209">
        <f>(K19+N19)/(1-(L19+M19+P19))</f>
        <v>898.148148148148</v>
      </c>
      <c r="R19" s="76"/>
    </row>
    <row r="20" spans="2:18" x14ac:dyDescent="0.2" ht="16" customHeight="1">
      <c r="B20" s="128" t="inlineStr">
        <is>
          <t xml:space="preserve">Energia elétrica da fábrica</t>
        </is>
      </c>
      <c r="C20" s="180">
        <v>72000</v>
      </c>
      <c r="D20" s="204">
        <f>C20/$C$8</f>
        <v>0.03</v>
      </c>
      <c r="E20" s="76"/>
      <c r="F20" s="76"/>
      <c r="G20" s="76"/>
      <c r="H20" s="76"/>
      <c r="I20" s="110"/>
      <c r="J20" s="147"/>
      <c r="K20" s="111"/>
      <c r="L20" s="112"/>
      <c r="M20" s="112"/>
      <c r="N20" s="111"/>
      <c r="O20" s="111"/>
      <c r="P20" s="112"/>
      <c r="Q20" s="113"/>
      <c r="R20" s="76"/>
    </row>
    <row r="21" spans="2:18" x14ac:dyDescent="0.2" ht="16" customHeight="1">
      <c r="B21" s="128" t="inlineStr">
        <is>
          <t xml:space="preserve">Fretes sobre compras de quadros e componentes</t>
        </is>
      </c>
      <c r="C21" s="181">
        <v>60000</v>
      </c>
      <c r="D21" s="204">
        <f>C21/$C$8</f>
        <v>0.025</v>
      </c>
      <c r="E21" s="76"/>
      <c r="F21" s="76"/>
      <c r="G21" s="76"/>
      <c r="H21" s="76"/>
      <c r="I21" s="110"/>
      <c r="J21" s="147"/>
      <c r="K21" s="111"/>
      <c r="L21" s="112"/>
      <c r="M21" s="112"/>
      <c r="N21" s="111"/>
      <c r="O21" s="111"/>
      <c r="P21" s="112"/>
      <c r="Q21" s="113"/>
      <c r="R21" s="76"/>
    </row>
    <row r="22" spans="2:18" x14ac:dyDescent="0.2" ht="16" customHeight="1">
      <c r="B22" s="128" t="inlineStr">
        <is>
          <t xml:space="preserve">Gastos gerais com fabricação do produto</t>
        </is>
      </c>
      <c r="C22" s="182">
        <v>48000</v>
      </c>
      <c r="D22" s="205">
        <f>C22/$C$8</f>
        <v>0.02</v>
      </c>
      <c r="E22" s="76"/>
      <c r="F22" s="76"/>
      <c r="G22" s="76"/>
      <c r="H22" s="76"/>
      <c r="I22" s="110"/>
      <c r="J22" s="147"/>
      <c r="K22" s="111"/>
      <c r="L22" s="112"/>
      <c r="M22" s="112"/>
      <c r="N22" s="111"/>
      <c r="O22" s="111"/>
      <c r="P22" s="112"/>
      <c r="Q22" s="113"/>
      <c r="R22" s="76"/>
    </row>
    <row r="23" spans="2:18" x14ac:dyDescent="0.2" ht="16" customHeight="1">
      <c r="B23" s="128" t="inlineStr">
        <is>
          <t xml:space="preserve">Manutenção de máquinas e equipamentos da produção</t>
        </is>
      </c>
      <c r="C23" s="182">
        <v>36000</v>
      </c>
      <c r="D23" s="205">
        <f>C23/$C$8</f>
        <v>0.015</v>
      </c>
      <c r="E23" s="76"/>
      <c r="F23" s="76"/>
      <c r="G23" s="76"/>
      <c r="H23" s="76"/>
      <c r="I23" s="110"/>
      <c r="J23" s="147"/>
      <c r="K23" s="111"/>
      <c r="L23" s="112"/>
      <c r="M23" s="112"/>
      <c r="N23" s="111"/>
      <c r="O23" s="111"/>
      <c r="P23" s="112"/>
      <c r="Q23" s="113"/>
      <c r="R23" s="76"/>
    </row>
    <row r="24" spans="2:18" ht="17" thickBot="1" x14ac:dyDescent="0.25">
      <c r="B24" s="135"/>
      <c r="C24" s="124"/>
      <c r="D24" s="134"/>
      <c r="E24" s="76"/>
      <c r="F24" s="76"/>
      <c r="G24" s="76"/>
      <c r="H24" s="76"/>
      <c r="I24" s="114" t="inlineStr">
        <is>
          <t xml:space="preserve">Ideal: QUANT. = vendas do mês; CF unit = CF ÷ Σ vendido</t>
        </is>
      </c>
      <c r="J24" s="148"/>
      <c r="K24" s="115"/>
      <c r="L24" s="116"/>
      <c r="M24" s="116"/>
      <c r="N24" s="115"/>
      <c r="O24" s="115"/>
      <c r="P24" s="116"/>
      <c r="Q24" s="117"/>
      <c r="R24" s="76"/>
    </row>
    <row r="25" spans="2:18" x14ac:dyDescent="0.2" ht="16" customHeight="1">
      <c r="B25" s="128"/>
      <c r="C25" s="82"/>
      <c r="D25" s="13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</row>
    <row r="26" spans="2:18" x14ac:dyDescent="0.2" ht="16" customHeight="1">
      <c r="B26" s="130"/>
      <c r="C26" s="85"/>
      <c r="D26" s="13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</row>
    <row r="27" spans="2:18" x14ac:dyDescent="0.2" ht="16" customHeight="1">
      <c r="B27" s="130"/>
      <c r="C27" s="85"/>
      <c r="D27" s="13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</row>
    <row r="28" spans="2:18" ht="17" thickBot="1" x14ac:dyDescent="0.25">
      <c r="B28" s="130"/>
      <c r="C28" s="87"/>
      <c r="D28" s="129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</row>
    <row r="29" spans="2:18" ht="17" thickBot="1" x14ac:dyDescent="0.25">
      <c r="B29" s="131"/>
      <c r="C29" s="177">
        <f>C10+C18</f>
        <v>1766000.0</v>
      </c>
      <c r="D29" s="202">
        <f>C29/$C$8</f>
        <v>0.735833333333333</v>
      </c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</row>
    <row r="30" spans="2:18" ht="17" thickBot="1" x14ac:dyDescent="0.25">
      <c r="B30" s="137"/>
      <c r="C30" s="87"/>
      <c r="D30" s="138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</row>
    <row r="31" spans="2:18" ht="15.75" customHeight="1" thickBot="1" x14ac:dyDescent="0.25">
      <c r="B31" s="131"/>
      <c r="C31" s="177">
        <f>C8-C29</f>
        <v>634000.0</v>
      </c>
      <c r="D31" s="202">
        <f>C31/$C$8</f>
        <v>0.264166666666667</v>
      </c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</row>
    <row r="32" spans="2:18" ht="15.75" customHeight="1" thickBot="1" x14ac:dyDescent="0.25">
      <c r="B32" s="132"/>
      <c r="C32" s="78"/>
      <c r="D32" s="139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</row>
    <row r="33" spans="2:18" ht="15.75" customHeight="1" thickBot="1" x14ac:dyDescent="0.25">
      <c r="B33" s="131"/>
      <c r="C33" s="178">
        <f>SUM(C34:C45)</f>
        <v>471500.0</v>
      </c>
      <c r="D33" s="202">
        <f>C33/$C$8</f>
        <v>0.196458333333333</v>
      </c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</row>
    <row r="34" spans="2:18" ht="15.75" customHeight="1" x14ac:dyDescent="0.2">
      <c r="B34" s="130" t="inlineStr">
        <is>
          <t xml:space="preserve">Água utilizada na administração</t>
        </is>
      </c>
      <c r="C34" s="183">
        <v>1200</v>
      </c>
      <c r="D34" s="204">
        <f>C34/$C$8</f>
        <v>0.0005</v>
      </c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</row>
    <row r="35" spans="2:18" ht="15.75" customHeight="1" x14ac:dyDescent="0.2">
      <c r="B35" s="130" t="inlineStr">
        <is>
          <t xml:space="preserve">Aluguel do galpão</t>
        </is>
      </c>
      <c r="C35" s="183">
        <v>45000</v>
      </c>
      <c r="D35" s="204">
        <f>C35/$C$8</f>
        <v>0.01875</v>
      </c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</row>
    <row r="36" spans="2:18" ht="15.75" customHeight="1" x14ac:dyDescent="0.2">
      <c r="B36" s="130" t="inlineStr">
        <is>
          <t xml:space="preserve">Depreciação de equipamentos</t>
        </is>
      </c>
      <c r="C36" s="183">
        <v>52000</v>
      </c>
      <c r="D36" s="204">
        <f>C36/$C$8</f>
        <v>0.0216666666666667</v>
      </c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</row>
    <row r="37" spans="2:18" ht="15.75" customHeight="1" x14ac:dyDescent="0.2">
      <c r="B37" s="130" t="inlineStr">
        <is>
          <t xml:space="preserve">Honorários contábeis</t>
        </is>
      </c>
      <c r="C37" s="183">
        <v>7000</v>
      </c>
      <c r="D37" s="204">
        <f>C37/$C$8</f>
        <v>0.00291666666666667</v>
      </c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</row>
    <row r="38" spans="2:18" ht="15.75" customHeight="1" x14ac:dyDescent="0.2">
      <c r="B38" s="130" t="inlineStr">
        <is>
          <t xml:space="preserve">Manutenção de equipamentos de escritório</t>
        </is>
      </c>
      <c r="C38" s="183">
        <v>3000</v>
      </c>
      <c r="D38" s="204">
        <f>C38/$C$8</f>
        <v>0.00125</v>
      </c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</row>
    <row r="39" spans="2:18" ht="15.75" customHeight="1" x14ac:dyDescent="0.2">
      <c r="B39" s="130" t="inlineStr">
        <is>
          <t xml:space="preserve">Material de limpeza</t>
        </is>
      </c>
      <c r="C39" s="183">
        <v>2300</v>
      </c>
      <c r="D39" s="204">
        <f>C39/$C$8</f>
        <v>0.000958333333333333</v>
      </c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</row>
    <row r="40" spans="2:18" ht="15.75" customHeight="1" x14ac:dyDescent="0.2">
      <c r="B40" s="130" t="inlineStr">
        <is>
          <t xml:space="preserve">Pró-labore</t>
        </is>
      </c>
      <c r="C40" s="183">
        <v>40000</v>
      </c>
      <c r="D40" s="204">
        <f>C40/$C$8</f>
        <v>0.0166666666666667</v>
      </c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</row>
    <row r="41" spans="2:18" ht="15.75" customHeight="1" x14ac:dyDescent="0.2">
      <c r="B41" s="130" t="inlineStr">
        <is>
          <t xml:space="preserve">Salários</t>
        </is>
      </c>
      <c r="C41" s="183">
        <v>280000</v>
      </c>
      <c r="D41" s="204">
        <f>C41/$C$8</f>
        <v>0.116666666666667</v>
      </c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</row>
    <row r="42" spans="2:18" ht="15.75" customHeight="1" x14ac:dyDescent="0.2">
      <c r="B42" s="130" t="inlineStr">
        <is>
          <t xml:space="preserve">Seguros</t>
        </is>
      </c>
      <c r="C42" s="183">
        <v>9000</v>
      </c>
      <c r="D42" s="204">
        <f>C42/$C$8</f>
        <v>0.00375</v>
      </c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</row>
    <row r="43" spans="2:18" ht="15.75" customHeight="1" thickBot="1" x14ac:dyDescent="0.25">
      <c r="B43" s="130" t="inlineStr">
        <is>
          <t xml:space="preserve">Suprimentos para escritório</t>
        </is>
      </c>
      <c r="C43" s="183">
        <v>4500</v>
      </c>
      <c r="D43" s="204">
        <f>C43/$C$8</f>
        <v>0.001875</v>
      </c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</row>
    <row r="44" spans="2:18" ht="15.75" customHeight="1" thickBot="1" x14ac:dyDescent="0.25">
      <c r="B44" s="130" t="inlineStr">
        <is>
          <t xml:space="preserve">Telefone e internet</t>
        </is>
      </c>
      <c r="C44" s="183">
        <v>3500</v>
      </c>
      <c r="D44" s="204">
        <f>C44/$C$8</f>
        <v>0.00145833333333333</v>
      </c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</row>
    <row r="45" spans="2:18" ht="15.75" customHeight="1" thickBot="1" x14ac:dyDescent="0.25">
      <c r="B45" s="130" t="inlineStr">
        <is>
          <t xml:space="preserve">Vale-refeição</t>
        </is>
      </c>
      <c r="C45" s="183">
        <v>24000</v>
      </c>
      <c r="D45" s="204">
        <f>C45/$C$8</f>
        <v>0.01</v>
      </c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</row>
    <row r="46" spans="2:18" ht="15.75" customHeight="1" thickBot="1" x14ac:dyDescent="0.25">
      <c r="B46" s="131"/>
      <c r="C46" s="179">
        <f>C31-C33</f>
        <v>162500.0</v>
      </c>
      <c r="D46" s="203">
        <f>C46/$C$8</f>
        <v>0.0677083333333333</v>
      </c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</row>
    <row r="47" spans="2:18" ht="15.75" customHeight="1" x14ac:dyDescent="0.2"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</row>
    <row r="48" spans="2:18" ht="15.75" customHeight="1" x14ac:dyDescent="0.2"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</row>
    <row r="49" spans="2:18" ht="15.75" customHeight="1" x14ac:dyDescent="0.2"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</row>
    <row r="50" spans="2:18" ht="15.75" customHeight="1" x14ac:dyDescent="0.2"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</row>
    <row r="51" spans="2:18" ht="15.75" customHeight="1" x14ac:dyDescent="0.2"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</row>
    <row r="52" spans="2:18" ht="15.75" customHeight="1" x14ac:dyDescent="0.2"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</row>
    <row r="53" spans="2:18" ht="15.75" customHeight="1" x14ac:dyDescent="0.2"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</row>
    <row r="54" spans="2:18" ht="15.75" customHeight="1" x14ac:dyDescent="0.2"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</row>
    <row r="55" spans="2:18" ht="15.75" customHeight="1" x14ac:dyDescent="0.2"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</row>
    <row r="56" spans="2:18" ht="15.75" customHeight="1" x14ac:dyDescent="0.2"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</row>
    <row r="57" spans="2:18" ht="15.75" customHeight="1" x14ac:dyDescent="0.2"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</row>
    <row r="58" spans="2:18" ht="15.75" customHeight="1" x14ac:dyDescent="0.2"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</row>
    <row r="59" spans="2:18" ht="15.75" customHeight="1" x14ac:dyDescent="0.2"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</row>
    <row r="60" spans="2:18" ht="15.75" customHeight="1" x14ac:dyDescent="0.2"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</row>
    <row r="61" spans="2:18" ht="15.75" customHeight="1" x14ac:dyDescent="0.2"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</row>
    <row r="62" spans="2:18" ht="15.75" customHeight="1" x14ac:dyDescent="0.2"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</row>
    <row r="63" spans="2:18" ht="15.75" customHeight="1" x14ac:dyDescent="0.2"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</row>
    <row r="64" spans="2:18" ht="15.75" customHeight="1" x14ac:dyDescent="0.2"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</row>
    <row r="65" spans="2:18" ht="15.75" customHeight="1" x14ac:dyDescent="0.2"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</row>
    <row r="66" spans="2:18" ht="15.75" customHeight="1" x14ac:dyDescent="0.2"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</row>
    <row r="67" spans="2:18" ht="15.75" customHeight="1" x14ac:dyDescent="0.2"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</row>
    <row r="68" spans="2:18" ht="15.75" customHeight="1" x14ac:dyDescent="0.2"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</row>
    <row r="69" spans="2:18" ht="15.75" customHeight="1" x14ac:dyDescent="0.2"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</row>
    <row r="70" spans="2:18" ht="15.75" customHeight="1" x14ac:dyDescent="0.2"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</row>
    <row r="71" spans="2:18" ht="15.75" customHeight="1" x14ac:dyDescent="0.2"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</row>
    <row r="72" spans="2:18" ht="15.75" customHeight="1" x14ac:dyDescent="0.2"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</row>
    <row r="73" spans="2:18" ht="15.75" customHeight="1" x14ac:dyDescent="0.2"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</row>
    <row r="74" spans="2:18" ht="15.75" customHeight="1" x14ac:dyDescent="0.2"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</row>
    <row r="75" spans="2:18" ht="15.75" customHeight="1" x14ac:dyDescent="0.2"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</row>
    <row r="76" spans="2:18" ht="15.75" customHeight="1" x14ac:dyDescent="0.2"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</row>
    <row r="77" spans="2:18" ht="15.75" customHeight="1" x14ac:dyDescent="0.2"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</row>
    <row r="78" spans="2:18" ht="15.75" customHeight="1" x14ac:dyDescent="0.2"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</row>
    <row r="79" spans="2:18" ht="15.75" customHeight="1" x14ac:dyDescent="0.2"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</row>
    <row r="80" spans="2:18" ht="15.75" customHeight="1" x14ac:dyDescent="0.2"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</row>
    <row r="81" spans="2:18" ht="15.75" customHeight="1" x14ac:dyDescent="0.2"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</row>
    <row r="82" spans="2:18" ht="15.75" customHeight="1" x14ac:dyDescent="0.2"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</row>
    <row r="83" spans="2:18" ht="15.75" customHeight="1" x14ac:dyDescent="0.2"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</row>
    <row r="84" spans="2:18" ht="15.75" customHeight="1" x14ac:dyDescent="0.2"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</row>
    <row r="85" spans="2:18" ht="15.75" customHeight="1" x14ac:dyDescent="0.2"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</row>
    <row r="86" spans="2:18" ht="15.75" customHeight="1" x14ac:dyDescent="0.2"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</row>
    <row r="87" spans="2:18" ht="15.75" customHeight="1" x14ac:dyDescent="0.2"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</row>
    <row r="88" spans="2:18" ht="15.75" customHeight="1" x14ac:dyDescent="0.2"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</row>
    <row r="89" spans="2:18" ht="15.75" customHeight="1" x14ac:dyDescent="0.2"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</row>
    <row r="90" spans="2:18" ht="15.75" customHeight="1" x14ac:dyDescent="0.2"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</row>
    <row r="91" spans="2:18" ht="15.75" customHeight="1" x14ac:dyDescent="0.2"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</row>
    <row r="92" spans="2:18" ht="15.75" customHeight="1" x14ac:dyDescent="0.2"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</row>
    <row r="93" spans="2:18" ht="15.75" customHeight="1" x14ac:dyDescent="0.2"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</row>
    <row r="94" spans="2:18" ht="15.75" customHeight="1" x14ac:dyDescent="0.2"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</row>
    <row r="95" spans="2:18" ht="15.75" customHeight="1" x14ac:dyDescent="0.2"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</row>
    <row r="96" spans="2:18" ht="15.75" customHeight="1" x14ac:dyDescent="0.2"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</row>
    <row r="97" spans="2:18" ht="15.75" customHeight="1" x14ac:dyDescent="0.2"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</row>
    <row r="98" spans="2:18" ht="15.75" customHeight="1" x14ac:dyDescent="0.2"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</row>
    <row r="99" spans="2:18" ht="15.75" customHeight="1" x14ac:dyDescent="0.2"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</row>
    <row r="100" spans="2:18" ht="15.75" customHeight="1" x14ac:dyDescent="0.2"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</row>
    <row r="101" spans="2:18" ht="15.75" customHeight="1" x14ac:dyDescent="0.2"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</row>
    <row r="102" spans="2:18" ht="15.75" customHeight="1" x14ac:dyDescent="0.2"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</row>
    <row r="103" spans="2:18" ht="15.75" customHeight="1" x14ac:dyDescent="0.2"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</row>
    <row r="104" spans="2:18" ht="15.75" customHeight="1" x14ac:dyDescent="0.2"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</row>
    <row r="105" spans="2:18" ht="15.75" customHeight="1" x14ac:dyDescent="0.2"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</row>
    <row r="106" spans="2:18" ht="15.75" customHeight="1" x14ac:dyDescent="0.2"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</row>
    <row r="107" spans="2:18" ht="15.75" customHeight="1" x14ac:dyDescent="0.2"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</row>
    <row r="108" spans="2:18" ht="15.75" customHeight="1" x14ac:dyDescent="0.2"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</row>
    <row r="109" spans="2:18" ht="15.75" customHeight="1" x14ac:dyDescent="0.2"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</row>
    <row r="110" spans="2:18" ht="15.75" customHeight="1" x14ac:dyDescent="0.2"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</row>
    <row r="111" spans="2:18" ht="15.75" customHeight="1" x14ac:dyDescent="0.2"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</row>
    <row r="112" spans="2:18" ht="15.75" customHeight="1" x14ac:dyDescent="0.2"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</row>
    <row r="113" spans="2:18" ht="15.75" customHeight="1" x14ac:dyDescent="0.2"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</row>
    <row r="114" spans="2:18" ht="15.75" customHeight="1" x14ac:dyDescent="0.2"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</row>
    <row r="115" spans="2:18" ht="15.75" customHeight="1" x14ac:dyDescent="0.2"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</row>
    <row r="116" spans="2:18" ht="15.75" customHeight="1" x14ac:dyDescent="0.2"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</row>
    <row r="117" spans="2:18" ht="15.75" customHeight="1" x14ac:dyDescent="0.2"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</row>
    <row r="118" spans="2:18" ht="15.75" customHeight="1" x14ac:dyDescent="0.2"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</row>
    <row r="119" spans="2:18" ht="15.75" customHeight="1" x14ac:dyDescent="0.2"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</row>
    <row r="120" spans="2:18" ht="15.75" customHeight="1" x14ac:dyDescent="0.2"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</row>
    <row r="121" spans="2:18" ht="15.75" customHeight="1" x14ac:dyDescent="0.2"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</row>
    <row r="122" spans="2:18" ht="15.75" customHeight="1" x14ac:dyDescent="0.2"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</row>
    <row r="123" spans="2:18" ht="15.75" customHeight="1" x14ac:dyDescent="0.2"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</row>
    <row r="124" spans="2:18" ht="15.75" customHeight="1" x14ac:dyDescent="0.2"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</row>
    <row r="125" spans="2:18" ht="15.75" customHeight="1" x14ac:dyDescent="0.2"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</row>
    <row r="126" spans="2:18" ht="15.75" customHeight="1" x14ac:dyDescent="0.2"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</row>
    <row r="127" spans="2:18" ht="15.75" customHeight="1" x14ac:dyDescent="0.2"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</row>
    <row r="128" spans="2:18" ht="15.75" customHeight="1" x14ac:dyDescent="0.2"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</row>
    <row r="129" spans="2:18" ht="15.75" customHeight="1" x14ac:dyDescent="0.2"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</row>
    <row r="130" spans="2:18" ht="15.75" customHeight="1" x14ac:dyDescent="0.2"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</row>
    <row r="131" spans="2:18" ht="15.75" customHeight="1" x14ac:dyDescent="0.2"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</row>
    <row r="132" spans="2:18" ht="15.75" customHeight="1" x14ac:dyDescent="0.2"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</row>
    <row r="133" spans="2:18" ht="15.75" customHeight="1" x14ac:dyDescent="0.2"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</row>
    <row r="134" spans="2:18" ht="15.75" customHeight="1" x14ac:dyDescent="0.2"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</row>
    <row r="135" spans="2:18" ht="15.75" customHeight="1" x14ac:dyDescent="0.2"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</row>
    <row r="136" spans="2:18" ht="15.75" customHeight="1" x14ac:dyDescent="0.2"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</row>
    <row r="137" spans="2:18" ht="15.75" customHeight="1" x14ac:dyDescent="0.2"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</row>
    <row r="138" spans="2:18" ht="15.75" customHeight="1" x14ac:dyDescent="0.2"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</row>
    <row r="139" spans="2:18" ht="15.75" customHeight="1" x14ac:dyDescent="0.2"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</row>
    <row r="140" spans="2:18" ht="15.75" customHeight="1" x14ac:dyDescent="0.2"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</row>
    <row r="141" spans="2:18" ht="15.75" customHeight="1" x14ac:dyDescent="0.2"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</row>
    <row r="142" spans="2:18" ht="15.75" customHeight="1" x14ac:dyDescent="0.2"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</row>
    <row r="143" spans="2:18" ht="15.75" customHeight="1" x14ac:dyDescent="0.2"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</row>
    <row r="144" spans="2:18" ht="15.75" customHeight="1" x14ac:dyDescent="0.2"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</row>
    <row r="145" spans="2:18" ht="15.75" customHeight="1" x14ac:dyDescent="0.2"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</row>
    <row r="146" spans="2:18" ht="15.75" customHeight="1" x14ac:dyDescent="0.2"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</row>
    <row r="147" spans="2:18" ht="15.75" customHeight="1" x14ac:dyDescent="0.2"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</row>
    <row r="148" spans="2:18" ht="15.75" customHeight="1" x14ac:dyDescent="0.2"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</row>
    <row r="149" spans="2:18" ht="15.75" customHeight="1" x14ac:dyDescent="0.2"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</row>
    <row r="150" spans="2:18" ht="15.75" customHeight="1" x14ac:dyDescent="0.2"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</row>
    <row r="151" spans="2:18" ht="15.75" customHeight="1" x14ac:dyDescent="0.2"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</row>
    <row r="152" spans="2:18" ht="15.75" customHeight="1" x14ac:dyDescent="0.2"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</row>
    <row r="153" spans="2:18" ht="15.75" customHeight="1" x14ac:dyDescent="0.2"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</row>
    <row r="154" spans="2:18" ht="15.75" customHeight="1" x14ac:dyDescent="0.2"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</row>
    <row r="155" spans="2:18" ht="15.75" customHeight="1" x14ac:dyDescent="0.2"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</row>
    <row r="156" spans="2:18" ht="15.75" customHeight="1" x14ac:dyDescent="0.2"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</row>
    <row r="157" spans="2:18" ht="15.75" customHeight="1" x14ac:dyDescent="0.2"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</row>
    <row r="158" spans="2:18" ht="15.75" customHeight="1" x14ac:dyDescent="0.2"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</row>
    <row r="159" spans="2:18" ht="15.75" customHeight="1" x14ac:dyDescent="0.2"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</row>
    <row r="160" spans="2:18" ht="15.75" customHeight="1" x14ac:dyDescent="0.2"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</row>
    <row r="161" spans="2:18" ht="15.75" customHeight="1" x14ac:dyDescent="0.2"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</row>
    <row r="162" spans="2:18" ht="15.75" customHeight="1" x14ac:dyDescent="0.2"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</row>
    <row r="163" spans="2:18" ht="15.75" customHeight="1" x14ac:dyDescent="0.2"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</row>
    <row r="164" spans="2:18" ht="15.75" customHeight="1" x14ac:dyDescent="0.2"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</row>
    <row r="165" spans="2:18" ht="15.75" customHeight="1" x14ac:dyDescent="0.2"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</row>
    <row r="166" spans="2:18" ht="15.75" customHeight="1" x14ac:dyDescent="0.2"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</row>
    <row r="167" spans="2:18" ht="15.75" customHeight="1" x14ac:dyDescent="0.2"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</row>
    <row r="168" spans="2:18" ht="15.75" customHeight="1" x14ac:dyDescent="0.2"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</row>
    <row r="169" spans="2:18" ht="15.75" customHeight="1" x14ac:dyDescent="0.2"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</row>
    <row r="170" spans="2:18" ht="15.75" customHeight="1" x14ac:dyDescent="0.2"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</row>
    <row r="171" spans="2:18" ht="15.75" customHeight="1" x14ac:dyDescent="0.2"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</row>
    <row r="172" spans="2:18" ht="15.75" customHeight="1" x14ac:dyDescent="0.2"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</row>
    <row r="173" spans="2:18" ht="15.75" customHeight="1" x14ac:dyDescent="0.2"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</row>
    <row r="174" spans="2:18" ht="15.75" customHeight="1" x14ac:dyDescent="0.2"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</row>
    <row r="175" spans="2:18" ht="15.75" customHeight="1" x14ac:dyDescent="0.2"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</row>
    <row r="176" spans="2:18" ht="15.75" customHeight="1" x14ac:dyDescent="0.2"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</row>
    <row r="177" spans="2:18" ht="15.75" customHeight="1" x14ac:dyDescent="0.2"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</row>
    <row r="178" spans="2:18" ht="15.75" customHeight="1" x14ac:dyDescent="0.2"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</row>
    <row r="179" spans="2:18" ht="15.75" customHeight="1" x14ac:dyDescent="0.2"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</row>
    <row r="180" spans="2:18" ht="15.75" customHeight="1" x14ac:dyDescent="0.2"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</row>
    <row r="181" spans="2:18" ht="15.75" customHeight="1" x14ac:dyDescent="0.2"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</row>
    <row r="182" spans="2:18" ht="15.75" customHeight="1" x14ac:dyDescent="0.2"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</row>
    <row r="183" spans="2:18" ht="15.75" customHeight="1" x14ac:dyDescent="0.2"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</row>
    <row r="184" spans="2:18" ht="15.75" customHeight="1" x14ac:dyDescent="0.2"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</row>
    <row r="185" spans="2:18" ht="15.75" customHeight="1" x14ac:dyDescent="0.2"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</row>
    <row r="186" spans="2:18" ht="15.75" customHeight="1" x14ac:dyDescent="0.2"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</row>
    <row r="187" spans="2:18" ht="15.75" customHeight="1" x14ac:dyDescent="0.2"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</row>
    <row r="188" spans="2:18" ht="15.75" customHeight="1" x14ac:dyDescent="0.2"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</row>
    <row r="189" spans="2:18" ht="15.75" customHeight="1" x14ac:dyDescent="0.2"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</row>
    <row r="190" spans="2:18" ht="15.75" customHeight="1" x14ac:dyDescent="0.2"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</row>
    <row r="191" spans="2:18" ht="15.75" customHeight="1" x14ac:dyDescent="0.2"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</row>
    <row r="192" spans="2:18" ht="15.75" customHeight="1" x14ac:dyDescent="0.2"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</row>
    <row r="193" spans="2:18" ht="15.75" customHeight="1" x14ac:dyDescent="0.2"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</row>
    <row r="194" spans="2:18" ht="15.75" customHeight="1" x14ac:dyDescent="0.2"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</row>
    <row r="195" spans="2:18" ht="15.75" customHeight="1" x14ac:dyDescent="0.2"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</row>
    <row r="196" spans="2:18" ht="15.75" customHeight="1" x14ac:dyDescent="0.2"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</row>
    <row r="197" spans="2:18" ht="15.75" customHeight="1" x14ac:dyDescent="0.2"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</row>
    <row r="198" spans="2:18" ht="15.75" customHeight="1" x14ac:dyDescent="0.2"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</row>
    <row r="199" spans="2:18" ht="15.75" customHeight="1" x14ac:dyDescent="0.2"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</row>
    <row r="200" spans="2:18" ht="15.75" customHeight="1" x14ac:dyDescent="0.2"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</row>
    <row r="201" spans="2:18" ht="15.75" customHeight="1" x14ac:dyDescent="0.2"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</row>
    <row r="202" spans="2:18" ht="15.75" customHeight="1" x14ac:dyDescent="0.2"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</row>
    <row r="203" spans="2:18" ht="15.75" customHeight="1" x14ac:dyDescent="0.2"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</row>
    <row r="204" spans="2:18" ht="15.75" customHeight="1" x14ac:dyDescent="0.2"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</row>
    <row r="205" spans="2:18" ht="15.75" customHeight="1" x14ac:dyDescent="0.2"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</row>
    <row r="206" spans="2:18" ht="15.75" customHeight="1" x14ac:dyDescent="0.2"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</row>
    <row r="207" spans="2:18" ht="15.75" customHeight="1" x14ac:dyDescent="0.2"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</row>
    <row r="208" spans="2:18" ht="15.75" customHeight="1" x14ac:dyDescent="0.2"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</row>
    <row r="209" spans="2:18" ht="15.75" customHeight="1" x14ac:dyDescent="0.2"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</row>
    <row r="210" spans="2:18" ht="15.75" customHeight="1" x14ac:dyDescent="0.2"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</row>
    <row r="211" spans="2:18" ht="15.75" customHeight="1" x14ac:dyDescent="0.2"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</row>
    <row r="212" spans="2:18" ht="15.75" customHeight="1" x14ac:dyDescent="0.2"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</row>
    <row r="213" spans="2:18" ht="15.75" customHeight="1" x14ac:dyDescent="0.2"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</row>
    <row r="214" spans="2:18" ht="15.75" customHeight="1" x14ac:dyDescent="0.2"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</row>
    <row r="215" spans="2:18" ht="15.75" customHeight="1" x14ac:dyDescent="0.2"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</row>
    <row r="216" spans="2:18" ht="15.75" customHeight="1" x14ac:dyDescent="0.2"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</row>
    <row r="217" spans="2:18" ht="15.75" customHeight="1" x14ac:dyDescent="0.2"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</row>
    <row r="218" spans="2:18" ht="15.75" customHeight="1" x14ac:dyDescent="0.2"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</row>
    <row r="219" spans="2:18" ht="15.75" customHeight="1" x14ac:dyDescent="0.2"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</row>
    <row r="220" spans="2:18" ht="15.75" customHeight="1" x14ac:dyDescent="0.2"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</row>
    <row r="221" spans="2:18" ht="15.75" customHeight="1" x14ac:dyDescent="0.2"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</row>
    <row r="222" spans="2:18" ht="15.75" customHeight="1" x14ac:dyDescent="0.2"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</row>
    <row r="223" spans="2:18" ht="15.75" customHeight="1" x14ac:dyDescent="0.2"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</row>
    <row r="224" spans="2:18" ht="15.75" customHeight="1" x14ac:dyDescent="0.2"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</row>
    <row r="225" spans="2:18" ht="15.75" customHeight="1" x14ac:dyDescent="0.2"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</row>
    <row r="226" spans="2:18" ht="15.75" customHeight="1" x14ac:dyDescent="0.2"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</row>
    <row r="227" spans="2:18" ht="15.75" customHeight="1" x14ac:dyDescent="0.2"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</row>
    <row r="228" spans="2:18" ht="15.75" customHeight="1" x14ac:dyDescent="0.2"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</row>
    <row r="229" spans="2:18" ht="15.75" customHeight="1" x14ac:dyDescent="0.2"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</row>
    <row r="230" spans="2:18" ht="15.75" customHeight="1" x14ac:dyDescent="0.2"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</row>
    <row r="231" spans="2:18" ht="15.75" customHeight="1" x14ac:dyDescent="0.2"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</row>
    <row r="232" spans="2:18" ht="15.75" customHeight="1" x14ac:dyDescent="0.2"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</row>
    <row r="233" spans="2:18" ht="15.75" customHeight="1" x14ac:dyDescent="0.2"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</row>
    <row r="234" spans="2:18" ht="15.75" customHeight="1" x14ac:dyDescent="0.2"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</row>
    <row r="235" spans="2:18" ht="15.75" customHeight="1" x14ac:dyDescent="0.2"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</row>
    <row r="236" spans="2:18" ht="15.75" customHeight="1" x14ac:dyDescent="0.2"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</row>
    <row r="237" spans="2:18" ht="15.75" customHeight="1" x14ac:dyDescent="0.2"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</row>
    <row r="238" spans="2:18" ht="15.75" customHeight="1" x14ac:dyDescent="0.2"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</row>
    <row r="239" spans="2:18" ht="15.75" customHeight="1" x14ac:dyDescent="0.2"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</row>
    <row r="240" spans="2:18" ht="15.75" customHeight="1" x14ac:dyDescent="0.2"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</row>
    <row r="241" spans="2:18" ht="15.75" customHeight="1" x14ac:dyDescent="0.2"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</row>
    <row r="242" spans="2:18" ht="15.75" customHeight="1" x14ac:dyDescent="0.2"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</row>
    <row r="243" spans="2:18" ht="15.75" customHeight="1" x14ac:dyDescent="0.2"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</row>
    <row r="244" spans="2:18" ht="15.75" customHeight="1" x14ac:dyDescent="0.2"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</row>
    <row r="245" spans="2:18" ht="15.75" customHeight="1" x14ac:dyDescent="0.2"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</row>
    <row r="246" spans="2:18" ht="15.75" customHeight="1" x14ac:dyDescent="0.2"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</row>
    <row r="247" spans="2:18" ht="15.75" customHeight="1" x14ac:dyDescent="0.2"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</row>
    <row r="248" spans="2:18" ht="15.75" customHeight="1" x14ac:dyDescent="0.2"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</row>
    <row r="249" spans="2:18" ht="15.75" customHeight="1" x14ac:dyDescent="0.2"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</row>
    <row r="250" spans="2:18" ht="15.75" customHeight="1" x14ac:dyDescent="0.2"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</row>
    <row r="251" spans="2:18" ht="15.75" customHeight="1" x14ac:dyDescent="0.2"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</row>
    <row r="252" spans="2:18" ht="15.75" customHeight="1" x14ac:dyDescent="0.2"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</row>
    <row r="253" spans="2:18" ht="15.75" customHeight="1" x14ac:dyDescent="0.2"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</row>
    <row r="254" spans="2:18" ht="15.75" customHeight="1" x14ac:dyDescent="0.2"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</row>
    <row r="255" spans="2:18" ht="15.75" customHeight="1" x14ac:dyDescent="0.2"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</row>
    <row r="256" spans="2:18" ht="15.75" customHeight="1" x14ac:dyDescent="0.2"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</row>
    <row r="257" spans="2:18" ht="15.75" customHeight="1" x14ac:dyDescent="0.2"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</row>
    <row r="258" spans="2:18" ht="15.75" customHeight="1" x14ac:dyDescent="0.2"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</row>
    <row r="259" spans="2:18" ht="15.75" customHeight="1" x14ac:dyDescent="0.2"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</row>
    <row r="260" spans="2:18" ht="15.75" customHeight="1" x14ac:dyDescent="0.2"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</row>
    <row r="261" spans="2:18" ht="15.75" customHeight="1" x14ac:dyDescent="0.2"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</row>
    <row r="262" spans="2:18" ht="15.75" customHeight="1" x14ac:dyDescent="0.2"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</row>
    <row r="263" spans="2:18" ht="15.75" customHeight="1" x14ac:dyDescent="0.2"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</row>
    <row r="264" spans="2:18" ht="15.75" customHeight="1" x14ac:dyDescent="0.2"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</row>
    <row r="265" spans="2:18" ht="15.75" customHeight="1" x14ac:dyDescent="0.2"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</row>
    <row r="266" spans="2:18" ht="15.75" customHeight="1" x14ac:dyDescent="0.2"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</row>
    <row r="267" spans="2:18" ht="15.75" customHeight="1" x14ac:dyDescent="0.2"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</row>
    <row r="268" spans="2:18" ht="15.75" customHeight="1" x14ac:dyDescent="0.2"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</row>
    <row r="269" spans="2:18" ht="15.75" customHeight="1" x14ac:dyDescent="0.2"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</row>
    <row r="270" spans="2:18" ht="15.75" customHeight="1" x14ac:dyDescent="0.2"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</row>
    <row r="271" spans="2:18" ht="15.75" customHeight="1" x14ac:dyDescent="0.2"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</row>
    <row r="272" spans="2:18" ht="15.75" customHeight="1" x14ac:dyDescent="0.2"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</row>
    <row r="273" spans="2:18" ht="15.75" customHeight="1" x14ac:dyDescent="0.2"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</row>
    <row r="274" spans="2:18" ht="15.75" customHeight="1" x14ac:dyDescent="0.2"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</row>
    <row r="275" spans="2:18" ht="15.75" customHeight="1" x14ac:dyDescent="0.2"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</row>
    <row r="276" spans="2:18" ht="15.75" customHeight="1" x14ac:dyDescent="0.2"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</row>
    <row r="277" spans="2:18" ht="15.75" customHeight="1" x14ac:dyDescent="0.2"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</row>
    <row r="278" spans="2:18" ht="15.75" customHeight="1" x14ac:dyDescent="0.2"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</row>
    <row r="279" spans="2:18" ht="15.75" customHeight="1" x14ac:dyDescent="0.2"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</row>
    <row r="280" spans="2:18" ht="15.75" customHeight="1" x14ac:dyDescent="0.2"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</row>
    <row r="281" spans="2:18" ht="15.75" customHeight="1" x14ac:dyDescent="0.2"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</row>
    <row r="282" spans="2:18" ht="15.75" customHeight="1" x14ac:dyDescent="0.2"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</row>
    <row r="283" spans="2:18" ht="15.75" customHeight="1" x14ac:dyDescent="0.2"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</row>
    <row r="284" spans="2:18" ht="15.75" customHeight="1" x14ac:dyDescent="0.2"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</row>
    <row r="285" spans="2:18" ht="15.75" customHeight="1" x14ac:dyDescent="0.2"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</row>
    <row r="286" spans="2:18" ht="15.75" customHeight="1" x14ac:dyDescent="0.2"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</row>
    <row r="287" spans="2:18" ht="15.75" customHeight="1" x14ac:dyDescent="0.2"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</row>
    <row r="288" spans="2:18" ht="15.75" customHeight="1" x14ac:dyDescent="0.2"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</row>
    <row r="289" spans="2:18" ht="15.75" customHeight="1" x14ac:dyDescent="0.2"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</row>
    <row r="290" spans="2:18" ht="15.75" customHeight="1" x14ac:dyDescent="0.2"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</row>
    <row r="291" spans="2:18" ht="15.75" customHeight="1" x14ac:dyDescent="0.2"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</row>
    <row r="292" spans="2:18" ht="15.75" customHeight="1" x14ac:dyDescent="0.2"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</row>
    <row r="293" spans="2:18" ht="15.75" customHeight="1" x14ac:dyDescent="0.2"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</row>
    <row r="294" spans="2:18" ht="15.75" customHeight="1" x14ac:dyDescent="0.2"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</row>
    <row r="295" spans="2:18" ht="15.75" customHeight="1" x14ac:dyDescent="0.2"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</row>
    <row r="296" spans="2:18" ht="15.75" customHeight="1" x14ac:dyDescent="0.2"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</row>
    <row r="297" spans="2:18" ht="15.75" customHeight="1" x14ac:dyDescent="0.2"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</row>
    <row r="298" spans="2:18" ht="15.75" customHeight="1" x14ac:dyDescent="0.2"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</row>
    <row r="299" spans="2:18" ht="15.75" customHeight="1" x14ac:dyDescent="0.2"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</row>
    <row r="300" spans="2:18" ht="15.75" customHeight="1" x14ac:dyDescent="0.2"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</row>
    <row r="301" spans="2:18" ht="15.75" customHeight="1" x14ac:dyDescent="0.2"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</row>
    <row r="302" spans="2:18" ht="15.75" customHeight="1" x14ac:dyDescent="0.2"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</row>
    <row r="303" spans="2:18" ht="15.75" customHeight="1" x14ac:dyDescent="0.2"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</row>
    <row r="304" spans="2:18" ht="15.75" customHeight="1" x14ac:dyDescent="0.2"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</row>
    <row r="305" spans="2:18" ht="15.75" customHeight="1" x14ac:dyDescent="0.2"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</row>
    <row r="306" spans="2:18" ht="15.75" customHeight="1" x14ac:dyDescent="0.2"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</row>
    <row r="307" spans="2:18" ht="15.75" customHeight="1" x14ac:dyDescent="0.2"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</row>
    <row r="308" spans="2:18" ht="15.75" customHeight="1" x14ac:dyDescent="0.2"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</row>
    <row r="309" spans="2:18" ht="15.75" customHeight="1" x14ac:dyDescent="0.2"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</row>
    <row r="310" spans="2:18" ht="15.75" customHeight="1" x14ac:dyDescent="0.2"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</row>
    <row r="311" spans="2:18" ht="15.75" customHeight="1" x14ac:dyDescent="0.2"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</row>
    <row r="312" spans="2:18" ht="15.75" customHeight="1" x14ac:dyDescent="0.2"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</row>
    <row r="313" spans="2:18" ht="15.75" customHeight="1" x14ac:dyDescent="0.2"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</row>
    <row r="314" spans="2:18" ht="15.75" customHeight="1" x14ac:dyDescent="0.2"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</row>
    <row r="315" spans="2:18" ht="15.75" customHeight="1" x14ac:dyDescent="0.2"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</row>
    <row r="316" spans="2:18" ht="15.75" customHeight="1" x14ac:dyDescent="0.2"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</row>
    <row r="317" spans="2:18" ht="15.75" customHeight="1" x14ac:dyDescent="0.2"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</row>
    <row r="318" spans="2:18" ht="15.75" customHeight="1" x14ac:dyDescent="0.2"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</row>
    <row r="319" spans="2:18" ht="15.75" customHeight="1" x14ac:dyDescent="0.2"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</row>
    <row r="320" spans="2:18" ht="15.75" customHeight="1" x14ac:dyDescent="0.2"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</row>
    <row r="321" spans="2:18" ht="15.75" customHeight="1" x14ac:dyDescent="0.2"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</row>
    <row r="322" spans="2:18" ht="15.75" customHeight="1" x14ac:dyDescent="0.2"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</row>
    <row r="323" spans="2:18" ht="15.75" customHeight="1" x14ac:dyDescent="0.2"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</row>
    <row r="324" spans="2:18" ht="15.75" customHeight="1" x14ac:dyDescent="0.2"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</row>
    <row r="325" spans="2:18" ht="15.75" customHeight="1" x14ac:dyDescent="0.2"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</row>
    <row r="326" spans="2:18" ht="15.75" customHeight="1" x14ac:dyDescent="0.2"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</row>
    <row r="327" spans="2:18" ht="15.75" customHeight="1" x14ac:dyDescent="0.2"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</row>
    <row r="328" spans="2:18" ht="15.75" customHeight="1" x14ac:dyDescent="0.2"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</row>
    <row r="329" spans="2:18" ht="15.75" customHeight="1" x14ac:dyDescent="0.2"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</row>
    <row r="330" spans="2:18" ht="15.75" customHeight="1" x14ac:dyDescent="0.2"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</row>
    <row r="331" spans="2:18" ht="15.75" customHeight="1" x14ac:dyDescent="0.2"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</row>
    <row r="332" spans="2:18" ht="15.75" customHeight="1" x14ac:dyDescent="0.2"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</row>
    <row r="333" spans="2:18" ht="15.75" customHeight="1" x14ac:dyDescent="0.2"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</row>
    <row r="334" spans="2:18" ht="15.75" customHeight="1" x14ac:dyDescent="0.2"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</row>
    <row r="335" spans="2:18" ht="15.75" customHeight="1" x14ac:dyDescent="0.2"/>
    <row r="336" spans="2:18" ht="15.75" customHeight="1" x14ac:dyDescent="0.2"/>
    <row r="337" spans="2:18" ht="15.75" customHeight="1" x14ac:dyDescent="0.2"/>
    <row r="338" spans="2:1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" customHeight="1" x14ac:dyDescent="0.2"/>
    <row r="793" ht="15" customHeight="1" x14ac:dyDescent="0.2"/>
    <row r="794" ht="15" customHeight="1" x14ac:dyDescent="0.2"/>
    <row r="795" ht="15" customHeight="1" x14ac:dyDescent="0.2"/>
    <row r="796" ht="15" customHeight="1" x14ac:dyDescent="0.2"/>
    <row r="797" ht="15" customHeight="1" x14ac:dyDescent="0.2"/>
    <row r="798" ht="15" customHeight="1" x14ac:dyDescent="0.2"/>
    <row r="799" ht="15" customHeight="1" x14ac:dyDescent="0.2"/>
    <row r="800" ht="15" customHeight="1" x14ac:dyDescent="0.2"/>
    <row r="801" ht="15" customHeight="1" x14ac:dyDescent="0.2"/>
    <row r="802" ht="15" customHeight="1" x14ac:dyDescent="0.2"/>
    <row r="803" ht="15" customHeight="1" x14ac:dyDescent="0.2"/>
    <row r="804" ht="15" customHeight="1" x14ac:dyDescent="0.2"/>
    <row r="805" ht="15" customHeight="1" x14ac:dyDescent="0.2"/>
    <row r="806" ht="15" customHeight="1" x14ac:dyDescent="0.2"/>
    <row r="807" ht="15" customHeight="1" x14ac:dyDescent="0.2"/>
    <row r="808" ht="15" customHeight="1" x14ac:dyDescent="0.2"/>
    <row r="809" ht="15" customHeight="1" x14ac:dyDescent="0.2"/>
    <row r="810" ht="15" customHeight="1" x14ac:dyDescent="0.2"/>
    <row r="811" ht="15" customHeight="1" x14ac:dyDescent="0.2"/>
    <row r="812" ht="15" customHeight="1" x14ac:dyDescent="0.2"/>
    <row r="813" ht="15" customHeight="1" x14ac:dyDescent="0.2"/>
    <row r="814" ht="15" customHeight="1" x14ac:dyDescent="0.2"/>
    <row r="815" ht="15" customHeight="1" x14ac:dyDescent="0.2"/>
    <row r="816" ht="15" customHeight="1" x14ac:dyDescent="0.2"/>
    <row r="817" ht="15" customHeight="1" x14ac:dyDescent="0.2"/>
    <row r="818" ht="15" customHeight="1" x14ac:dyDescent="0.2"/>
    <row r="819" ht="15" customHeight="1" x14ac:dyDescent="0.2"/>
    <row r="820" ht="15" customHeight="1" x14ac:dyDescent="0.2"/>
    <row r="821" ht="15" customHeight="1" x14ac:dyDescent="0.2"/>
    <row r="822" ht="15" customHeight="1" x14ac:dyDescent="0.2"/>
    <row r="823" ht="15" customHeight="1" x14ac:dyDescent="0.2"/>
    <row r="824" ht="15" customHeight="1" x14ac:dyDescent="0.2"/>
    <row r="825" ht="15" customHeight="1" x14ac:dyDescent="0.2"/>
    <row r="826" ht="15" customHeight="1" x14ac:dyDescent="0.2"/>
    <row r="827" ht="15" customHeight="1" x14ac:dyDescent="0.2"/>
    <row r="828" ht="15" customHeight="1" x14ac:dyDescent="0.2"/>
    <row r="829" ht="15" customHeight="1" x14ac:dyDescent="0.2"/>
    <row r="830" ht="15" customHeight="1" x14ac:dyDescent="0.2"/>
    <row r="831" ht="15" customHeight="1" x14ac:dyDescent="0.2"/>
    <row r="832" ht="15" customHeight="1" x14ac:dyDescent="0.2"/>
    <row r="833" ht="15" customHeight="1" x14ac:dyDescent="0.2"/>
    <row r="834" ht="15" customHeight="1" x14ac:dyDescent="0.2"/>
    <row r="835" ht="15" customHeight="1" x14ac:dyDescent="0.2"/>
    <row r="836" ht="15" customHeight="1" x14ac:dyDescent="0.2"/>
    <row r="837" ht="15" customHeight="1" x14ac:dyDescent="0.2"/>
    <row r="838" ht="15" customHeight="1" x14ac:dyDescent="0.2"/>
    <row r="839" ht="15" customHeight="1" x14ac:dyDescent="0.2"/>
    <row r="840" ht="15" customHeight="1" x14ac:dyDescent="0.2"/>
    <row r="841" ht="15" customHeight="1" x14ac:dyDescent="0.2"/>
    <row r="842" ht="15" customHeight="1" x14ac:dyDescent="0.2"/>
    <row r="843" ht="15" customHeight="1" x14ac:dyDescent="0.2"/>
    <row r="844" ht="15" customHeight="1" x14ac:dyDescent="0.2"/>
    <row r="845" ht="15" customHeight="1" x14ac:dyDescent="0.2"/>
    <row r="846" ht="15" customHeight="1" x14ac:dyDescent="0.2"/>
    <row r="847" ht="15" customHeight="1" x14ac:dyDescent="0.2"/>
    <row r="848" ht="15" customHeight="1" x14ac:dyDescent="0.2"/>
    <row r="849" ht="15" customHeight="1" x14ac:dyDescent="0.2"/>
    <row r="850" ht="15" customHeight="1" x14ac:dyDescent="0.2"/>
    <row r="851" ht="15" customHeight="1" x14ac:dyDescent="0.2"/>
    <row r="852" ht="15" customHeight="1" x14ac:dyDescent="0.2"/>
    <row r="853" ht="15" customHeight="1" x14ac:dyDescent="0.2"/>
    <row r="854" ht="15" customHeight="1" x14ac:dyDescent="0.2"/>
    <row r="855" ht="15" customHeight="1" x14ac:dyDescent="0.2"/>
    <row r="856" ht="15" customHeight="1" x14ac:dyDescent="0.2"/>
    <row r="857" ht="15" customHeight="1" x14ac:dyDescent="0.2"/>
    <row r="858" ht="15" customHeight="1" x14ac:dyDescent="0.2"/>
    <row r="859" ht="15" customHeight="1" x14ac:dyDescent="0.2"/>
    <row r="860" ht="15" customHeight="1" x14ac:dyDescent="0.2"/>
    <row r="861" ht="15" customHeight="1" x14ac:dyDescent="0.2"/>
    <row r="862" ht="15" customHeight="1" x14ac:dyDescent="0.2"/>
    <row r="863" ht="15" customHeight="1" x14ac:dyDescent="0.2"/>
    <row r="864" ht="15" customHeight="1" x14ac:dyDescent="0.2"/>
    <row r="865" ht="15" customHeight="1" x14ac:dyDescent="0.2"/>
    <row r="866" ht="15" customHeight="1" x14ac:dyDescent="0.2"/>
    <row r="867" ht="15" customHeight="1" x14ac:dyDescent="0.2"/>
    <row r="868" ht="15" customHeight="1" x14ac:dyDescent="0.2"/>
    <row r="869" ht="15" customHeight="1" x14ac:dyDescent="0.2"/>
    <row r="870" ht="15" customHeight="1" x14ac:dyDescent="0.2"/>
    <row r="871" ht="15" customHeight="1" x14ac:dyDescent="0.2"/>
    <row r="872" ht="15" customHeight="1" x14ac:dyDescent="0.2"/>
    <row r="873" ht="15" customHeight="1" x14ac:dyDescent="0.2"/>
    <row r="874" ht="15" customHeight="1" x14ac:dyDescent="0.2"/>
    <row r="875" ht="15" customHeight="1" x14ac:dyDescent="0.2"/>
    <row r="876" ht="15" customHeight="1" x14ac:dyDescent="0.2"/>
    <row r="877" ht="15" customHeight="1" x14ac:dyDescent="0.2"/>
    <row r="878" ht="15" customHeight="1" x14ac:dyDescent="0.2"/>
    <row r="879" ht="15" customHeight="1" x14ac:dyDescent="0.2"/>
    <row r="880" ht="15" customHeight="1" x14ac:dyDescent="0.2"/>
    <row r="881" ht="15" customHeight="1" x14ac:dyDescent="0.2"/>
    <row r="882" ht="15" customHeight="1" x14ac:dyDescent="0.2"/>
    <row r="883" ht="15" customHeight="1" x14ac:dyDescent="0.2"/>
    <row r="884" ht="15" customHeight="1" x14ac:dyDescent="0.2"/>
    <row r="885" ht="15" customHeight="1" x14ac:dyDescent="0.2"/>
    <row r="886" ht="15" customHeight="1" x14ac:dyDescent="0.2"/>
    <row r="887" ht="15" customHeight="1" x14ac:dyDescent="0.2"/>
    <row r="888" ht="15" customHeight="1" x14ac:dyDescent="0.2"/>
    <row r="889" ht="15" customHeight="1" x14ac:dyDescent="0.2"/>
    <row r="890" ht="15" customHeight="1" x14ac:dyDescent="0.2"/>
    <row r="891" ht="15" customHeight="1" x14ac:dyDescent="0.2"/>
    <row r="892" ht="15" customHeight="1" x14ac:dyDescent="0.2"/>
    <row r="893" ht="15" customHeight="1" x14ac:dyDescent="0.2"/>
    <row r="894" ht="15" customHeight="1" x14ac:dyDescent="0.2"/>
    <row r="895" ht="15" customHeight="1" x14ac:dyDescent="0.2"/>
    <row r="896" ht="15" customHeight="1" x14ac:dyDescent="0.2"/>
    <row r="897" ht="15" customHeight="1" x14ac:dyDescent="0.2"/>
    <row r="898" ht="15" customHeight="1" x14ac:dyDescent="0.2"/>
    <row r="899" ht="15" customHeight="1" x14ac:dyDescent="0.2"/>
    <row r="900" ht="15" customHeight="1" x14ac:dyDescent="0.2"/>
    <row r="901" ht="15" customHeight="1" x14ac:dyDescent="0.2"/>
    <row r="902" ht="15" customHeight="1" x14ac:dyDescent="0.2"/>
    <row r="903" ht="15" customHeight="1" x14ac:dyDescent="0.2"/>
    <row r="904" ht="15" customHeight="1" x14ac:dyDescent="0.2"/>
    <row r="905" ht="15" customHeight="1" x14ac:dyDescent="0.2"/>
    <row r="906" ht="15" customHeight="1" x14ac:dyDescent="0.2"/>
    <row r="907" ht="15" customHeight="1" x14ac:dyDescent="0.2"/>
    <row r="908" ht="15" customHeight="1" x14ac:dyDescent="0.2"/>
    <row r="909" ht="15" customHeight="1" x14ac:dyDescent="0.2"/>
    <row r="910" ht="15" customHeight="1" x14ac:dyDescent="0.2"/>
    <row r="911" ht="15" customHeight="1" x14ac:dyDescent="0.2"/>
    <row r="912" ht="15" customHeight="1" x14ac:dyDescent="0.2"/>
    <row r="913" ht="15" customHeight="1" x14ac:dyDescent="0.2"/>
    <row r="914" ht="15" customHeight="1" x14ac:dyDescent="0.2"/>
    <row r="915" ht="15" customHeight="1" x14ac:dyDescent="0.2"/>
    <row r="916" ht="15" customHeight="1" x14ac:dyDescent="0.2"/>
    <row r="917" ht="15" customHeight="1" x14ac:dyDescent="0.2"/>
    <row r="918" ht="15" customHeight="1" x14ac:dyDescent="0.2"/>
    <row r="919" ht="15" customHeight="1" x14ac:dyDescent="0.2"/>
    <row r="920" ht="15" customHeight="1" x14ac:dyDescent="0.2"/>
    <row r="921" ht="15" customHeight="1" x14ac:dyDescent="0.2"/>
    <row r="922" ht="15" customHeight="1" x14ac:dyDescent="0.2"/>
    <row r="923" ht="15" customHeight="1" x14ac:dyDescent="0.2"/>
    <row r="924" ht="15" customHeight="1" x14ac:dyDescent="0.2"/>
    <row r="925" ht="15" customHeight="1" x14ac:dyDescent="0.2"/>
    <row r="926" ht="15" customHeight="1" x14ac:dyDescent="0.2"/>
    <row r="927" ht="15" customHeight="1" x14ac:dyDescent="0.2"/>
    <row r="928" ht="15" customHeight="1" x14ac:dyDescent="0.2"/>
    <row r="929" ht="15" customHeight="1" x14ac:dyDescent="0.2"/>
    <row r="930" ht="15" customHeight="1" x14ac:dyDescent="0.2"/>
    <row r="931" ht="15" customHeight="1" x14ac:dyDescent="0.2"/>
    <row r="932" ht="15" customHeight="1" x14ac:dyDescent="0.2"/>
    <row r="933" ht="15" customHeight="1" x14ac:dyDescent="0.2"/>
    <row r="934" ht="15" customHeight="1" x14ac:dyDescent="0.2"/>
    <row r="935" ht="15" customHeight="1" x14ac:dyDescent="0.2"/>
    <row r="936" ht="15" customHeight="1" x14ac:dyDescent="0.2"/>
    <row r="937" ht="15" customHeight="1" x14ac:dyDescent="0.2"/>
    <row r="938" ht="15" customHeight="1" x14ac:dyDescent="0.2"/>
    <row r="939" ht="15" customHeight="1" x14ac:dyDescent="0.2"/>
    <row r="940" ht="15" customHeight="1" x14ac:dyDescent="0.2"/>
    <row r="941" ht="15" customHeight="1" x14ac:dyDescent="0.2"/>
    <row r="942" ht="15" customHeight="1" x14ac:dyDescent="0.2"/>
    <row r="943" ht="15" customHeight="1" x14ac:dyDescent="0.2"/>
    <row r="944" ht="15" customHeight="1" x14ac:dyDescent="0.2"/>
    <row r="945" ht="15" customHeight="1" x14ac:dyDescent="0.2"/>
    <row r="946" ht="15" customHeight="1" x14ac:dyDescent="0.2"/>
    <row r="947" ht="15" customHeight="1" x14ac:dyDescent="0.2"/>
    <row r="948" ht="15" customHeight="1" x14ac:dyDescent="0.2"/>
    <row r="949" ht="15" customHeight="1" x14ac:dyDescent="0.2"/>
    <row r="950" ht="15" customHeight="1" x14ac:dyDescent="0.2"/>
    <row r="951" ht="15" customHeight="1" x14ac:dyDescent="0.2"/>
    <row r="952" ht="15" customHeight="1" x14ac:dyDescent="0.2"/>
    <row r="953" ht="15" customHeight="1" x14ac:dyDescent="0.2"/>
    <row r="954" ht="15" customHeight="1" x14ac:dyDescent="0.2"/>
    <row r="955" ht="15" customHeight="1" x14ac:dyDescent="0.2"/>
    <row r="956" ht="15" customHeight="1" x14ac:dyDescent="0.2"/>
    <row r="957" ht="15" customHeight="1" x14ac:dyDescent="0.2"/>
    <row r="958" ht="15" customHeight="1" x14ac:dyDescent="0.2"/>
    <row r="959" ht="15" customHeight="1" x14ac:dyDescent="0.2"/>
    <row r="960" ht="15" customHeight="1" x14ac:dyDescent="0.2"/>
    <row r="961" ht="15" customHeight="1" x14ac:dyDescent="0.2"/>
    <row r="962" ht="15" customHeight="1" x14ac:dyDescent="0.2"/>
    <row r="963" ht="15" customHeight="1" x14ac:dyDescent="0.2"/>
    <row r="964" ht="15" customHeight="1" x14ac:dyDescent="0.2"/>
    <row r="965" ht="15" customHeight="1" x14ac:dyDescent="0.2"/>
    <row r="966" ht="15" customHeight="1" x14ac:dyDescent="0.2"/>
    <row r="967" ht="15" customHeight="1" x14ac:dyDescent="0.2"/>
    <row r="968" ht="15" customHeight="1" x14ac:dyDescent="0.2"/>
    <row r="969" ht="15" customHeight="1" x14ac:dyDescent="0.2"/>
    <row r="970" ht="15" customHeight="1" x14ac:dyDescent="0.2"/>
    <row r="971" ht="15" customHeight="1" x14ac:dyDescent="0.2"/>
    <row r="972" ht="15" customHeight="1" x14ac:dyDescent="0.2"/>
    <row r="973" ht="15" customHeight="1" x14ac:dyDescent="0.2"/>
    <row r="974" ht="15" customHeight="1" x14ac:dyDescent="0.2"/>
    <row r="975" ht="15" customHeight="1" x14ac:dyDescent="0.2"/>
    <row r="976" ht="15" customHeight="1" x14ac:dyDescent="0.2"/>
    <row r="977" ht="15" customHeight="1" x14ac:dyDescent="0.2"/>
    <row r="978" ht="15" customHeight="1" x14ac:dyDescent="0.2"/>
    <row r="979" ht="15" customHeight="1" x14ac:dyDescent="0.2"/>
    <row r="980" ht="15" customHeight="1" x14ac:dyDescent="0.2"/>
    <row r="981" ht="15" customHeight="1" x14ac:dyDescent="0.2"/>
    <row r="982" ht="15" customHeight="1" x14ac:dyDescent="0.2"/>
    <row r="983" ht="15" customHeight="1" x14ac:dyDescent="0.2"/>
    <row r="984" ht="15" customHeight="1" x14ac:dyDescent="0.2"/>
    <row r="985" ht="15" customHeight="1" x14ac:dyDescent="0.2"/>
    <row r="986" ht="15" customHeight="1" x14ac:dyDescent="0.2"/>
    <row r="987" ht="15" customHeight="1" x14ac:dyDescent="0.2"/>
    <row r="988" ht="15" customHeight="1" x14ac:dyDescent="0.2"/>
    <row r="989" ht="15" customHeight="1" x14ac:dyDescent="0.2"/>
    <row r="990" ht="15" customHeight="1" x14ac:dyDescent="0.2"/>
    <row r="991" ht="15" customHeight="1" x14ac:dyDescent="0.2"/>
    <row r="992" ht="15" customHeight="1" x14ac:dyDescent="0.2"/>
    <row r="993" ht="15" customHeight="1" x14ac:dyDescent="0.2"/>
    <row r="994" ht="15" customHeight="1" x14ac:dyDescent="0.2"/>
    <row r="995" ht="15" customHeight="1" x14ac:dyDescent="0.2"/>
    <row r="996" ht="15" customHeight="1" x14ac:dyDescent="0.2"/>
    <row r="997" ht="15" customHeight="1" x14ac:dyDescent="0.2"/>
    <row r="998" ht="15" customHeight="1" x14ac:dyDescent="0.2"/>
    <row r="999" ht="15" customHeight="1" x14ac:dyDescent="0.2"/>
    <row r="1000" ht="15" customHeight="1" x14ac:dyDescent="0.2"/>
    <row r="1001" ht="15" customHeight="1" x14ac:dyDescent="0.2"/>
    <row r="1002" ht="15" customHeight="1" x14ac:dyDescent="0.2"/>
    <row r="1003" ht="15" customHeight="1" x14ac:dyDescent="0.2"/>
    <row r="1004" ht="15" customHeight="1" x14ac:dyDescent="0.2"/>
    <row r="1005" ht="15" customHeight="1" x14ac:dyDescent="0.2"/>
    <row r="1006" ht="15" customHeight="1" x14ac:dyDescent="0.2"/>
    <row r="1007" ht="15" customHeight="1" x14ac:dyDescent="0.2"/>
    <row r="1008" ht="15" customHeight="1" x14ac:dyDescent="0.2"/>
    <row r="1009" ht="15" customHeight="1" x14ac:dyDescent="0.2"/>
    <row r="1010" ht="15" customHeight="1" x14ac:dyDescent="0.2"/>
    <row r="1011" ht="15" customHeight="1" x14ac:dyDescent="0.2"/>
    <row r="1012" ht="15" customHeight="1" x14ac:dyDescent="0.2"/>
    <row r="1013" ht="15" customHeight="1" x14ac:dyDescent="0.2"/>
    <row r="1014" ht="15" customHeight="1" x14ac:dyDescent="0.2"/>
  </sheetData>
  <mergeCells count="3">
    <mergeCell ref="I6:Q6"/>
    <mergeCell ref="B4:D4"/>
    <mergeCell ref="B5:D5"/>
  </mergeCells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DA532-0F84-DB47-960C-4337961BF274}">
  <dimension ref="B2:X1012"/>
  <sheetViews>
    <sheetView workbookViewId="0">
      <selection activeCell="F21" sqref="F21"/>
    </sheetView>
  </sheetViews>
  <sheetFormatPr baseColWidth="10" defaultColWidth="12.6640625" defaultRowHeight="16" x14ac:dyDescent="0.2"/>
  <cols>
    <col min="1" max="1" width="7.6640625" customWidth="1"/>
    <col min="2" max="2" width="64.5" customWidth="1"/>
    <col min="3" max="3" width="19.33203125" customWidth="1"/>
    <col min="4" max="5" width="7.6640625" customWidth="1"/>
    <col min="8" max="8" width="34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7" customWidth="1"/>
    <col min="20" max="20" width="15" customWidth="1"/>
    <col min="21" max="21" width="15" customWidth="1"/>
    <col min="22" max="22" width="17" customWidth="1"/>
    <col min="23" max="23" width="15" customWidth="1"/>
    <col min="24" max="24" width="17" customWidth="1"/>
  </cols>
  <sheetData>
    <row r="1" ht="16" customHeight="1"/>
    <row r="2" spans="2:24" ht="15" customHeight="1" x14ac:dyDescent="0.2"/>
    <row r="3" spans="2:24" hidden="1" x14ac:dyDescent="0.2" ht="16" customHeight="1">
      <c r="H3" t="inlineStr">
        <is>
          <t xml:space="preserve">Exercício 2 · Vinícola Vale dos Vinhedos Ltda. · Custeio pela margem de contribuição</t>
        </is>
      </c>
    </row>
    <row r="4" spans="2:24" ht="46" customHeight="1" thickBot="1" x14ac:dyDescent="0.25"/>
    <row r="5" spans="2:24" ht="17" thickTop="1" x14ac:dyDescent="0.2">
      <c r="H5" s="66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8"/>
    </row>
    <row r="6" spans="2:24" ht="18" x14ac:dyDescent="0.2">
      <c r="B6" s="150"/>
      <c r="C6" s="151"/>
      <c r="D6" s="151"/>
      <c r="H6" s="69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1"/>
    </row>
    <row r="7" spans="2:24" ht="17" thickBot="1" x14ac:dyDescent="0.25">
      <c r="B7" s="152"/>
      <c r="C7" s="153"/>
      <c r="D7" s="153"/>
      <c r="H7" s="7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73"/>
    </row>
    <row r="8" spans="2:24" ht="18" thickTop="1" thickBot="1" x14ac:dyDescent="0.25">
      <c r="B8" s="62" t="s">
        <v>19</v>
      </c>
      <c r="C8" s="37" t="s">
        <v>20</v>
      </c>
      <c r="D8" s="37" t="s">
        <v>14</v>
      </c>
      <c r="E8" s="76"/>
      <c r="F8" s="76"/>
      <c r="G8" s="76"/>
      <c r="H8" s="165" t="s">
        <v>0</v>
      </c>
      <c r="I8" s="167" t="s">
        <v>18</v>
      </c>
      <c r="J8" s="169" t="s">
        <v>1</v>
      </c>
      <c r="K8" s="160" t="s">
        <v>2</v>
      </c>
      <c r="L8" s="161"/>
      <c r="M8" s="162"/>
      <c r="N8" s="160" t="s">
        <v>3</v>
      </c>
      <c r="O8" s="162"/>
      <c r="P8" s="163" t="s">
        <v>4</v>
      </c>
      <c r="Q8" s="160" t="s">
        <v>5</v>
      </c>
      <c r="R8" s="162"/>
      <c r="S8" s="161" t="s">
        <v>6</v>
      </c>
      <c r="T8" s="161"/>
      <c r="U8" s="154" t="s">
        <v>7</v>
      </c>
      <c r="V8" s="156" t="s">
        <v>8</v>
      </c>
      <c r="W8" s="154" t="s">
        <v>9</v>
      </c>
      <c r="X8" s="158" t="s">
        <v>10</v>
      </c>
    </row>
    <row r="9" spans="2:24" ht="17" thickBot="1" x14ac:dyDescent="0.25">
      <c r="B9" s="105"/>
      <c r="C9" s="76"/>
      <c r="D9" s="76"/>
      <c r="E9" s="76"/>
      <c r="F9" s="76"/>
      <c r="G9" s="76"/>
      <c r="H9" s="166"/>
      <c r="I9" s="168"/>
      <c r="J9" s="170"/>
      <c r="K9" s="94" t="s">
        <v>11</v>
      </c>
      <c r="L9" s="95" t="s">
        <v>12</v>
      </c>
      <c r="M9" s="96" t="s">
        <v>13</v>
      </c>
      <c r="N9" s="97" t="s">
        <v>14</v>
      </c>
      <c r="O9" s="98" t="s">
        <v>15</v>
      </c>
      <c r="P9" s="164"/>
      <c r="Q9" s="99" t="s">
        <v>15</v>
      </c>
      <c r="R9" s="100" t="s">
        <v>14</v>
      </c>
      <c r="S9" s="101" t="s">
        <v>15</v>
      </c>
      <c r="T9" s="102" t="s">
        <v>14</v>
      </c>
      <c r="U9" s="155"/>
      <c r="V9" s="157"/>
      <c r="W9" s="155"/>
      <c r="X9" s="159"/>
    </row>
    <row r="10" spans="2:24" ht="18" thickTop="1" thickBot="1" x14ac:dyDescent="0.25">
      <c r="B10" s="103" t="s">
        <v>21</v>
      </c>
      <c r="C10" s="177">
        <v>3960000</v>
      </c>
      <c r="D10" s="172">
        <f>C10/$C$10</f>
        <v>1.0</v>
      </c>
      <c r="E10" s="76"/>
      <c r="F10" s="76"/>
      <c r="G10" s="76"/>
      <c r="H10" s="38" t="inlineStr">
        <is>
          <t xml:space="preserve">A · Espumante brut (garrafa)</t>
        </is>
      </c>
      <c r="I10" s="184">
        <v>30000</v>
      </c>
      <c r="J10" s="185">
        <v>50</v>
      </c>
      <c r="K10" s="186">
        <v>14</v>
      </c>
      <c r="L10" s="187">
        <f>($C$20-$C$21)/$C$10</f>
        <v>0.08</v>
      </c>
      <c r="M10" s="188">
        <f>J10*L10</f>
        <v>4.0</v>
      </c>
      <c r="N10" s="189">
        <f>$C$12/$C$10</f>
        <v>0.3</v>
      </c>
      <c r="O10" s="190">
        <f>J10*N10</f>
        <v>15.0</v>
      </c>
      <c r="P10" s="191">
        <f>K10+M10+O10</f>
        <v>33.0</v>
      </c>
      <c r="Q10" s="192">
        <f>J10-P10</f>
        <v>17.0</v>
      </c>
      <c r="R10" s="193">
        <f>Q10/J10</f>
        <v>0.34</v>
      </c>
      <c r="S10" s="192">
        <f>Q10*I10</f>
        <v>510000.0</v>
      </c>
      <c r="T10" s="193">
        <f>S10/$S$17</f>
        <v>0.371665937909926</v>
      </c>
      <c r="U10" s="194">
        <f>$C$35*T10/I10</f>
        <v>11.4473108876257</v>
      </c>
      <c r="V10" s="195">
        <f>(K10+U10)/(1-(L10+N10))</f>
        <v>41.0440498187512</v>
      </c>
      <c r="W10" s="196">
        <v>0.18</v>
      </c>
      <c r="X10" s="197">
        <f>(K10+U10)/(1-(L10+N10+W10))</f>
        <v>57.8347974718766</v>
      </c>
    </row>
    <row r="11" spans="2:24" ht="17" thickBot="1" x14ac:dyDescent="0.25">
      <c r="B11" s="77"/>
      <c r="C11" s="78"/>
      <c r="D11" s="79"/>
      <c r="E11" s="76"/>
      <c r="F11" s="76"/>
      <c r="G11" s="76"/>
      <c r="H11" s="38" t="inlineStr">
        <is>
          <t xml:space="preserve">B · Vinho tinto reserva (garrafa)</t>
        </is>
      </c>
      <c r="I11" s="184">
        <v>18000</v>
      </c>
      <c r="J11" s="185">
        <v>70</v>
      </c>
      <c r="K11" s="186">
        <v>19.5</v>
      </c>
      <c r="L11" s="187">
        <f>($C$20-$C$21)/$C$10</f>
        <v>0.08</v>
      </c>
      <c r="M11" s="188">
        <f>J11*L11</f>
        <v>5.6</v>
      </c>
      <c r="N11" s="189">
        <f>$C$12/$C$10</f>
        <v>0.3</v>
      </c>
      <c r="O11" s="190">
        <f>J11*N11</f>
        <v>21.0</v>
      </c>
      <c r="P11" s="191">
        <f>K11+M11+O11</f>
        <v>46.1</v>
      </c>
      <c r="Q11" s="192">
        <f>J11-P11</f>
        <v>23.9</v>
      </c>
      <c r="R11" s="193">
        <f>Q11/J11</f>
        <v>0.341428571428571</v>
      </c>
      <c r="S11" s="192">
        <f>Q11*I11</f>
        <v>430200.0</v>
      </c>
      <c r="T11" s="193">
        <f>S11/$S$17</f>
        <v>0.313511149978137</v>
      </c>
      <c r="U11" s="194">
        <f>$C$35*T11/I11</f>
        <v>16.0935723655444</v>
      </c>
      <c r="V11" s="195">
        <f>(K11+U11)/(1-(L11+N11))</f>
        <v>57.4089876863619</v>
      </c>
      <c r="W11" s="196">
        <v>0.2</v>
      </c>
      <c r="X11" s="197">
        <f>(K11+U11)/(1-(L11+N11+W11))</f>
        <v>84.7466008703438</v>
      </c>
    </row>
    <row r="12" spans="2:24" ht="17" thickBot="1" x14ac:dyDescent="0.25">
      <c r="B12" s="118"/>
      <c r="C12" s="177">
        <f>SUM(C13:C19)</f>
        <v>1188000.0</v>
      </c>
      <c r="D12" s="173">
        <f>C12/$C$10</f>
        <v>0.3</v>
      </c>
      <c r="E12" s="76"/>
      <c r="F12" s="76"/>
      <c r="G12" s="76"/>
      <c r="H12" s="38" t="inlineStr">
        <is>
          <t xml:space="preserve">C · Suco de uva integral 1 L</t>
        </is>
      </c>
      <c r="I12" s="184">
        <v>60000</v>
      </c>
      <c r="J12" s="185">
        <v>20</v>
      </c>
      <c r="K12" s="186">
        <v>5.2</v>
      </c>
      <c r="L12" s="187">
        <f>($C$20-$C$21)/$C$10</f>
        <v>0.08</v>
      </c>
      <c r="M12" s="188">
        <f>J12*L12</f>
        <v>1.6</v>
      </c>
      <c r="N12" s="189">
        <f>$C$12/$C$10</f>
        <v>0.3</v>
      </c>
      <c r="O12" s="190">
        <f>J12*N12</f>
        <v>6.0</v>
      </c>
      <c r="P12" s="191">
        <f>K12+M12+O12</f>
        <v>12.8</v>
      </c>
      <c r="Q12" s="192">
        <f>J12-P12</f>
        <v>7.2</v>
      </c>
      <c r="R12" s="193">
        <f>Q12/J12</f>
        <v>0.36</v>
      </c>
      <c r="S12" s="192">
        <f>Q12*I12</f>
        <v>432000.0</v>
      </c>
      <c r="T12" s="193">
        <f>S12/$S$17</f>
        <v>0.314822912111937</v>
      </c>
      <c r="U12" s="194">
        <f>$C$35*T12/I12</f>
        <v>4.84827284652383</v>
      </c>
      <c r="V12" s="195">
        <f>(K12+U12)/(1-(L12+N12))</f>
        <v>16.2068916879417</v>
      </c>
      <c r="W12" s="196">
        <v>0.1</v>
      </c>
      <c r="X12" s="197">
        <f>(K12+U12)/(1-(L12+N12+W12))</f>
        <v>19.3236016279304</v>
      </c>
    </row>
    <row r="13" spans="2:24" x14ac:dyDescent="0.2" ht="16" customHeight="1">
      <c r="B13" s="81" t="inlineStr">
        <is>
          <t xml:space="preserve">Comissão sobre vendas</t>
        </is>
      </c>
      <c r="C13" s="180">
        <v>158400</v>
      </c>
      <c r="D13" s="175">
        <f>C13/$C$10</f>
        <v>0.04</v>
      </c>
      <c r="E13" s="76"/>
      <c r="F13" s="76"/>
      <c r="G13" s="76"/>
      <c r="H13" s="40"/>
      <c r="I13" s="14"/>
      <c r="J13" s="15"/>
      <c r="K13" s="16"/>
      <c r="L13" s="17"/>
      <c r="M13" s="18"/>
      <c r="N13" s="19"/>
      <c r="O13" s="20"/>
      <c r="P13" s="21"/>
      <c r="Q13" s="22"/>
      <c r="R13" s="23"/>
      <c r="S13" s="22"/>
      <c r="T13" s="23"/>
      <c r="U13" s="24"/>
      <c r="V13" s="24"/>
      <c r="W13" s="24"/>
      <c r="X13" s="41"/>
    </row>
    <row r="14" spans="2:24" x14ac:dyDescent="0.2" ht="16" customHeight="1">
      <c r="B14" s="81" t="inlineStr">
        <is>
          <t xml:space="preserve">Despesas com publicidade proporcional às vendas</t>
        </is>
      </c>
      <c r="C14" s="180">
        <v>39600</v>
      </c>
      <c r="D14" s="175">
        <f>C14/$C$10</f>
        <v>0.01</v>
      </c>
      <c r="E14" s="76"/>
      <c r="F14" s="76"/>
      <c r="G14" s="76"/>
      <c r="H14" s="40"/>
      <c r="I14" s="14"/>
      <c r="J14" s="15"/>
      <c r="K14" s="16"/>
      <c r="L14" s="17"/>
      <c r="M14" s="18"/>
      <c r="N14" s="19"/>
      <c r="O14" s="20"/>
      <c r="P14" s="21" t="s">
        <v>16</v>
      </c>
      <c r="Q14" s="22"/>
      <c r="R14" s="23"/>
      <c r="S14" s="22"/>
      <c r="T14" s="23"/>
      <c r="U14" s="24"/>
      <c r="V14" s="24"/>
      <c r="W14" s="24"/>
      <c r="X14" s="41"/>
    </row>
    <row r="15" spans="2:24" x14ac:dyDescent="0.2" ht="16" customHeight="1">
      <c r="B15" s="81" t="inlineStr">
        <is>
          <t xml:space="preserve">Frete de entrega</t>
        </is>
      </c>
      <c r="C15" s="180">
        <v>118800</v>
      </c>
      <c r="D15" s="175">
        <f>C15/$C$10</f>
        <v>0.03</v>
      </c>
      <c r="E15" s="76"/>
      <c r="F15" s="76"/>
      <c r="G15" s="76"/>
      <c r="H15" s="42"/>
      <c r="I15" s="25"/>
      <c r="J15" s="26"/>
      <c r="K15" s="27"/>
      <c r="L15" s="28"/>
      <c r="M15" s="29" t="s">
        <v>16</v>
      </c>
      <c r="N15" s="30"/>
      <c r="O15" s="31"/>
      <c r="P15" s="32"/>
      <c r="Q15" s="33"/>
      <c r="R15" s="29"/>
      <c r="S15" s="33"/>
      <c r="T15" s="29"/>
      <c r="U15" s="34"/>
      <c r="V15" s="34"/>
      <c r="W15" s="34"/>
      <c r="X15" s="43"/>
    </row>
    <row r="16" spans="2:24" ht="17" thickBot="1" x14ac:dyDescent="0.25">
      <c r="B16" s="81" t="inlineStr">
        <is>
          <t xml:space="preserve">Impostos sobre as vendas</t>
        </is>
      </c>
      <c r="C16" s="180">
        <v>871200</v>
      </c>
      <c r="D16" s="175">
        <f>C16/$C$10</f>
        <v>0.22</v>
      </c>
      <c r="E16" s="76"/>
      <c r="F16" s="76"/>
      <c r="G16" s="76"/>
      <c r="H16" s="44"/>
      <c r="I16" s="45"/>
      <c r="J16" s="45"/>
      <c r="K16" s="46"/>
      <c r="L16" s="47" t="s">
        <v>16</v>
      </c>
      <c r="M16" s="48"/>
      <c r="N16" s="49"/>
      <c r="O16" s="50"/>
      <c r="P16" s="51"/>
      <c r="Q16" s="52"/>
      <c r="R16" s="48"/>
      <c r="S16" s="52"/>
      <c r="T16" s="48"/>
      <c r="U16" s="45"/>
      <c r="V16" s="45"/>
      <c r="W16" s="45"/>
      <c r="X16" s="53"/>
    </row>
    <row r="17" spans="2:24" ht="18" thickTop="1" thickBot="1" x14ac:dyDescent="0.25">
      <c r="B17" s="81"/>
      <c r="C17" s="82"/>
      <c r="D17" s="83"/>
      <c r="E17" s="76"/>
      <c r="F17" s="76"/>
      <c r="G17" s="76"/>
      <c r="H17" s="1"/>
      <c r="I17" s="1"/>
      <c r="J17" s="1"/>
      <c r="K17" s="1"/>
      <c r="L17" s="1"/>
      <c r="M17" s="1"/>
      <c r="N17" s="1"/>
      <c r="O17" s="1"/>
      <c r="P17" s="1"/>
      <c r="Q17" s="1"/>
      <c r="R17" s="35" t="s">
        <v>17</v>
      </c>
      <c r="S17" s="198">
        <f>SUM(S10:S16)</f>
        <v>1372200.0</v>
      </c>
      <c r="T17" s="199">
        <f>SUM(T10:T16)</f>
        <v>1.0</v>
      </c>
      <c r="U17" s="1"/>
      <c r="V17" s="1"/>
      <c r="W17" s="1"/>
      <c r="X17" s="1"/>
    </row>
    <row r="18" spans="2:24" ht="17" thickTop="1" x14ac:dyDescent="0.2">
      <c r="B18" s="84"/>
      <c r="C18" s="85"/>
      <c r="D18" s="83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</row>
    <row r="19" spans="2:24" ht="17" thickBot="1" x14ac:dyDescent="0.25">
      <c r="B19" s="84"/>
      <c r="C19" s="85"/>
      <c r="D19" s="83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</row>
    <row r="20" spans="2:24" ht="17" thickBot="1" x14ac:dyDescent="0.25">
      <c r="B20" s="119"/>
      <c r="C20" s="177">
        <f>SUM(C21:C30)</f>
        <v>1399800.0</v>
      </c>
      <c r="D20" s="173">
        <f>C20/$C$10</f>
        <v>0.353484848484848</v>
      </c>
      <c r="E20" s="76"/>
      <c r="F20" s="76"/>
      <c r="G20" s="76"/>
      <c r="H20" s="76" t="inlineStr">
        <is>
          <t xml:space="preserve">Conferência: Σ MC total dos produtos − MC do DRE (deve ser 0)</t>
        </is>
      </c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200">
        <f>S17-C33</f>
        <v>0.0</v>
      </c>
      <c r="T20" s="76"/>
      <c r="U20" s="76"/>
      <c r="V20" s="76"/>
      <c r="W20" s="76"/>
      <c r="X20" s="76"/>
    </row>
    <row r="21" spans="2:24" x14ac:dyDescent="0.2" ht="16" customHeight="1">
      <c r="B21" s="81" t="inlineStr">
        <is>
          <t xml:space="preserve">Matéria-prima (uva, garrafas, rolhas, rótulos)</t>
        </is>
      </c>
      <c r="C21" s="180">
        <v>1083000</v>
      </c>
      <c r="D21" s="175">
        <f>C21/$C$10</f>
        <v>0.273484848484849</v>
      </c>
      <c r="E21" s="76"/>
      <c r="F21" s="76"/>
      <c r="G21" s="76"/>
      <c r="H21" s="76" t="inlineStr">
        <is>
          <t xml:space="preserve">Conferência: Σ vendas × preço − receita (deve ser 0)</t>
        </is>
      </c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200">
        <f>SUMPRODUCT(I10:I16,J10:J16)-C10</f>
        <v>0.0</v>
      </c>
      <c r="T21" s="76"/>
      <c r="U21" s="76"/>
      <c r="V21" s="76"/>
      <c r="W21" s="76"/>
      <c r="X21" s="76"/>
    </row>
    <row r="22" spans="2:24" x14ac:dyDescent="0.2" ht="16" customHeight="1">
      <c r="B22" s="81" t="inlineStr">
        <is>
          <t xml:space="preserve">Energia elétrica e refrigeração da cantina</t>
        </is>
      </c>
      <c r="C22" s="180">
        <v>118800</v>
      </c>
      <c r="D22" s="175">
        <f>C22/$C$10</f>
        <v>0.03</v>
      </c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</row>
    <row r="23" spans="2:24" x14ac:dyDescent="0.2" ht="16" customHeight="1">
      <c r="B23" s="81" t="inlineStr">
        <is>
          <t xml:space="preserve">Fretes sobre compras de uva</t>
        </is>
      </c>
      <c r="C23" s="181">
        <v>79200</v>
      </c>
      <c r="D23" s="175">
        <f>C23/$C$10</f>
        <v>0.02</v>
      </c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</row>
    <row r="24" spans="2:24" x14ac:dyDescent="0.2" ht="16" customHeight="1">
      <c r="B24" s="81" t="inlineStr">
        <is>
          <t xml:space="preserve">Insumos de vinificação (leveduras, enzimas, clarificantes)</t>
        </is>
      </c>
      <c r="C24" s="182">
        <v>79200</v>
      </c>
      <c r="D24" s="176">
        <f>C24/$C$10</f>
        <v>0.02</v>
      </c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</row>
    <row r="25" spans="2:24" x14ac:dyDescent="0.2" ht="16" customHeight="1">
      <c r="B25" s="81" t="inlineStr">
        <is>
          <t xml:space="preserve">Manutenção de máquinas e equipamentos da produção</t>
        </is>
      </c>
      <c r="C25" s="182">
        <v>39600</v>
      </c>
      <c r="D25" s="176">
        <f>C25/$C$10</f>
        <v>0.01</v>
      </c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</row>
    <row r="26" spans="2:24" x14ac:dyDescent="0.2" ht="16" customHeight="1">
      <c r="B26" s="125"/>
      <c r="C26" s="124"/>
      <c r="D26" s="120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</row>
    <row r="27" spans="2:24" x14ac:dyDescent="0.2" ht="16" customHeight="1">
      <c r="B27" s="81"/>
      <c r="C27" s="82"/>
      <c r="D27" s="8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</row>
    <row r="28" spans="2:24" x14ac:dyDescent="0.2" ht="16" customHeight="1">
      <c r="B28" s="84"/>
      <c r="C28" s="85"/>
      <c r="D28" s="8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</row>
    <row r="29" spans="2:24" ht="15.75" customHeight="1" x14ac:dyDescent="0.2">
      <c r="B29" s="84"/>
      <c r="C29" s="85"/>
      <c r="D29" s="8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</row>
    <row r="30" spans="2:24" ht="15.75" customHeight="1" thickBot="1" x14ac:dyDescent="0.25">
      <c r="B30" s="84"/>
      <c r="C30" s="87"/>
      <c r="D30" s="83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</row>
    <row r="31" spans="2:24" ht="15.75" customHeight="1" thickBot="1" x14ac:dyDescent="0.25">
      <c r="B31" s="119"/>
      <c r="C31" s="177">
        <f>C12+C20</f>
        <v>2587800.0</v>
      </c>
      <c r="D31" s="173">
        <f>C31/$C$10</f>
        <v>0.653484848484848</v>
      </c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</row>
    <row r="32" spans="2:24" ht="15.75" customHeight="1" thickBot="1" x14ac:dyDescent="0.25">
      <c r="B32" s="88"/>
      <c r="C32" s="87"/>
      <c r="D32" s="89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</row>
    <row r="33" spans="2:24" ht="15.75" customHeight="1" thickBot="1" x14ac:dyDescent="0.25">
      <c r="B33" s="119"/>
      <c r="C33" s="177">
        <f>C10-C31</f>
        <v>1372200.0</v>
      </c>
      <c r="D33" s="173">
        <f>C33/$C$10</f>
        <v>0.346515151515152</v>
      </c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</row>
    <row r="34" spans="2:24" ht="15.75" customHeight="1" thickBot="1" x14ac:dyDescent="0.25">
      <c r="B34" s="77"/>
      <c r="C34" s="78"/>
      <c r="D34" s="79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</row>
    <row r="35" spans="2:24" ht="15.75" customHeight="1" thickBot="1" x14ac:dyDescent="0.25">
      <c r="B35" s="119"/>
      <c r="C35" s="178">
        <f>SUM(C36:C47)</f>
        <v>924000.0</v>
      </c>
      <c r="D35" s="173">
        <f>C35/$C$10</f>
        <v>0.233333333333333</v>
      </c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</row>
    <row r="36" spans="2:24" ht="15.75" customHeight="1" x14ac:dyDescent="0.2">
      <c r="B36" s="84" t="inlineStr">
        <is>
          <t xml:space="preserve">Água utilizada na administração</t>
        </is>
      </c>
      <c r="C36" s="183">
        <v>2500</v>
      </c>
      <c r="D36" s="175">
        <f>C36/$C$10</f>
        <v>0.000631313131313131</v>
      </c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</row>
    <row r="37" spans="2:24" ht="15.75" customHeight="1" x14ac:dyDescent="0.2">
      <c r="B37" s="84" t="inlineStr">
        <is>
          <t xml:space="preserve">Depreciação de tanques, barricas e envasadora</t>
        </is>
      </c>
      <c r="C37" s="183">
        <v>110000</v>
      </c>
      <c r="D37" s="175">
        <f>C37/$C$10</f>
        <v>0.0277777777777778</v>
      </c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</row>
    <row r="38" spans="2:24" ht="15.75" customHeight="1" x14ac:dyDescent="0.2">
      <c r="B38" s="84" t="inlineStr">
        <is>
          <t xml:space="preserve">Honorários contábeis</t>
        </is>
      </c>
      <c r="C38" s="183">
        <v>12000</v>
      </c>
      <c r="D38" s="175">
        <f>C38/$C$10</f>
        <v>0.00303030303030303</v>
      </c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</row>
    <row r="39" spans="2:24" ht="15.75" customHeight="1" x14ac:dyDescent="0.2">
      <c r="B39" s="84" t="inlineStr">
        <is>
          <t xml:space="preserve">IPTU e taxas municipais</t>
        </is>
      </c>
      <c r="C39" s="183">
        <v>8000</v>
      </c>
      <c r="D39" s="175">
        <f>C39/$C$10</f>
        <v>0.00202020202020202</v>
      </c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</row>
    <row r="40" spans="2:24" ht="15.75" customHeight="1" x14ac:dyDescent="0.2">
      <c r="B40" s="84" t="inlineStr">
        <is>
          <t xml:space="preserve">Manutenção de equipamentos de escritório</t>
        </is>
      </c>
      <c r="C40" s="183">
        <v>4000</v>
      </c>
      <c r="D40" s="175">
        <f>C40/$C$10</f>
        <v>0.00101010101010101</v>
      </c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</row>
    <row r="41" spans="2:24" ht="15.75" customHeight="1" x14ac:dyDescent="0.2">
      <c r="B41" s="84" t="inlineStr">
        <is>
          <t xml:space="preserve">Material de limpeza</t>
        </is>
      </c>
      <c r="C41" s="183">
        <v>5500</v>
      </c>
      <c r="D41" s="175">
        <f>C41/$C$10</f>
        <v>0.00138888888888889</v>
      </c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</row>
    <row r="42" spans="2:24" ht="15.75" customHeight="1" x14ac:dyDescent="0.2">
      <c r="B42" s="84" t="inlineStr">
        <is>
          <t xml:space="preserve">Pró-labore</t>
        </is>
      </c>
      <c r="C42" s="183">
        <v>80000</v>
      </c>
      <c r="D42" s="175">
        <f>C42/$C$10</f>
        <v>0.0202020202020202</v>
      </c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</row>
    <row r="43" spans="2:24" ht="15.75" customHeight="1" x14ac:dyDescent="0.2">
      <c r="B43" s="84" t="inlineStr">
        <is>
          <t xml:space="preserve">Salários</t>
        </is>
      </c>
      <c r="C43" s="183">
        <v>620000</v>
      </c>
      <c r="D43" s="175">
        <f>C43/$C$10</f>
        <v>0.156565656565657</v>
      </c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</row>
    <row r="44" spans="2:24" ht="15.75" customHeight="1" x14ac:dyDescent="0.2">
      <c r="B44" s="84" t="inlineStr">
        <is>
          <t xml:space="preserve">Seguros</t>
        </is>
      </c>
      <c r="C44" s="183">
        <v>18000</v>
      </c>
      <c r="D44" s="175">
        <f>C44/$C$10</f>
        <v>0.00454545454545455</v>
      </c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</row>
    <row r="45" spans="2:24" ht="15.75" customHeight="1" thickBot="1" x14ac:dyDescent="0.25">
      <c r="B45" s="84" t="inlineStr">
        <is>
          <t xml:space="preserve">Suprimentos para escritório</t>
        </is>
      </c>
      <c r="C45" s="183">
        <v>6000</v>
      </c>
      <c r="D45" s="175">
        <f>C45/$C$10</f>
        <v>0.00151515151515152</v>
      </c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</row>
    <row r="46" spans="2:24" ht="15.75" customHeight="1" thickBot="1" x14ac:dyDescent="0.25">
      <c r="B46" s="84" t="inlineStr">
        <is>
          <t xml:space="preserve">Telefone e internet</t>
        </is>
      </c>
      <c r="C46" s="183">
        <v>6000</v>
      </c>
      <c r="D46" s="175">
        <f>C46/$C$10</f>
        <v>0.00151515151515152</v>
      </c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</row>
    <row r="47" spans="2:24" ht="15.75" customHeight="1" thickBot="1" x14ac:dyDescent="0.25">
      <c r="B47" s="84" t="inlineStr">
        <is>
          <t xml:space="preserve">Vale-refeição</t>
        </is>
      </c>
      <c r="C47" s="183">
        <v>52000</v>
      </c>
      <c r="D47" s="175">
        <f>C47/$C$10</f>
        <v>0.0131313131313131</v>
      </c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</row>
    <row r="48" spans="2:24" ht="15.75" customHeight="1" thickBot="1" x14ac:dyDescent="0.25">
      <c r="B48" s="119"/>
      <c r="C48" s="179">
        <f>C33-C35</f>
        <v>448200.0</v>
      </c>
      <c r="D48" s="174">
        <f>C48/$C$10</f>
        <v>0.113181818181818</v>
      </c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</row>
    <row r="49" spans="2:24" ht="15.75" customHeight="1" x14ac:dyDescent="0.2"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</row>
    <row r="50" spans="2:24" ht="15.75" customHeight="1" x14ac:dyDescent="0.2"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</row>
    <row r="51" spans="5:24" ht="15.75" customHeight="1" x14ac:dyDescent="0.2"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</row>
    <row r="52" spans="5:24" ht="15.75" customHeight="1" x14ac:dyDescent="0.2"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</row>
    <row r="53" spans="5:24" ht="15.75" customHeight="1" x14ac:dyDescent="0.2"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</row>
    <row r="54" spans="5:24" ht="15.75" customHeight="1" x14ac:dyDescent="0.2"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</row>
    <row r="55" spans="5:24" ht="15.75" customHeight="1" x14ac:dyDescent="0.2"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</row>
    <row r="56" spans="5:24" ht="15.75" customHeight="1" x14ac:dyDescent="0.2"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</row>
    <row r="57" spans="5:24" ht="15.75" customHeight="1" x14ac:dyDescent="0.2"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</row>
    <row r="58" spans="5:24" ht="15.75" customHeight="1" x14ac:dyDescent="0.2"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</row>
    <row r="59" spans="5:24" ht="15.75" customHeight="1" x14ac:dyDescent="0.2"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</row>
    <row r="60" spans="5:24" ht="15.75" customHeight="1" x14ac:dyDescent="0.2"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</row>
    <row r="61" spans="5:24" ht="15.75" customHeight="1" x14ac:dyDescent="0.2"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</row>
    <row r="62" spans="5:24" ht="15.75" customHeight="1" x14ac:dyDescent="0.2"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</row>
    <row r="63" spans="5:24" ht="15.75" customHeight="1" x14ac:dyDescent="0.2"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</row>
    <row r="64" spans="5:24" ht="15.75" customHeight="1" x14ac:dyDescent="0.2"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</row>
    <row r="65" spans="5:24" ht="15.75" customHeight="1" x14ac:dyDescent="0.2"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</row>
    <row r="66" spans="5:24" ht="15.75" customHeight="1" x14ac:dyDescent="0.2"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</row>
    <row r="67" spans="5:24" ht="15.75" customHeight="1" x14ac:dyDescent="0.2"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</row>
    <row r="68" spans="5:24" ht="15.75" customHeight="1" x14ac:dyDescent="0.2"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</row>
    <row r="69" spans="5:24" ht="15.75" customHeight="1" x14ac:dyDescent="0.2"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</row>
    <row r="70" spans="5:24" ht="15.75" customHeight="1" x14ac:dyDescent="0.2"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</row>
    <row r="71" spans="5:24" ht="15.75" customHeight="1" x14ac:dyDescent="0.2"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</row>
    <row r="72" spans="5:24" ht="15.75" customHeight="1" x14ac:dyDescent="0.2"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</row>
    <row r="73" spans="5:24" ht="15.75" customHeight="1" x14ac:dyDescent="0.2"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</row>
    <row r="74" spans="5:24" ht="15.75" customHeight="1" x14ac:dyDescent="0.2"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</row>
    <row r="75" spans="5:24" ht="15.75" customHeight="1" x14ac:dyDescent="0.2"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</row>
    <row r="76" spans="5:24" ht="15.75" customHeight="1" x14ac:dyDescent="0.2"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</row>
    <row r="77" spans="5:24" ht="15.75" customHeight="1" x14ac:dyDescent="0.2"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</row>
    <row r="78" spans="5:24" ht="15.75" customHeight="1" x14ac:dyDescent="0.2"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</row>
    <row r="79" spans="5:24" ht="15.75" customHeight="1" x14ac:dyDescent="0.2"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</row>
    <row r="80" spans="5:24" ht="15.75" customHeight="1" x14ac:dyDescent="0.2"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</row>
    <row r="81" spans="5:24" ht="15.75" customHeight="1" x14ac:dyDescent="0.2"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</row>
    <row r="82" spans="5:24" ht="15.75" customHeight="1" x14ac:dyDescent="0.2"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</row>
    <row r="83" spans="5:24" ht="15.75" customHeight="1" x14ac:dyDescent="0.2"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</row>
    <row r="84" spans="5:24" ht="15.75" customHeight="1" x14ac:dyDescent="0.2"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</row>
    <row r="85" spans="5:24" ht="15.75" customHeight="1" x14ac:dyDescent="0.2"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</row>
    <row r="86" spans="5:24" ht="15.75" customHeight="1" x14ac:dyDescent="0.2"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</row>
    <row r="87" spans="5:24" ht="15.75" customHeight="1" x14ac:dyDescent="0.2"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</row>
    <row r="88" spans="5:24" ht="15.75" customHeight="1" x14ac:dyDescent="0.2"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</row>
    <row r="89" spans="5:24" ht="15.75" customHeight="1" x14ac:dyDescent="0.2"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</row>
    <row r="90" spans="5:24" ht="15.75" customHeight="1" x14ac:dyDescent="0.2"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</row>
    <row r="91" spans="5:24" ht="15.75" customHeight="1" x14ac:dyDescent="0.2"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</row>
    <row r="92" spans="5:24" ht="15.75" customHeight="1" x14ac:dyDescent="0.2"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</row>
    <row r="93" spans="5:24" ht="15.75" customHeight="1" x14ac:dyDescent="0.2"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</row>
    <row r="94" spans="5:24" ht="15.75" customHeight="1" x14ac:dyDescent="0.2"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</row>
    <row r="95" spans="5:24" ht="15.75" customHeight="1" x14ac:dyDescent="0.2"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</row>
    <row r="96" spans="5:24" ht="15.75" customHeight="1" x14ac:dyDescent="0.2"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</row>
    <row r="97" spans="5:24" ht="15.75" customHeight="1" x14ac:dyDescent="0.2"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</row>
    <row r="98" spans="5:24" ht="15.75" customHeight="1" x14ac:dyDescent="0.2"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</row>
    <row r="99" spans="5:24" ht="15.75" customHeight="1" x14ac:dyDescent="0.2"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</row>
    <row r="100" spans="5:24" ht="15.75" customHeight="1" x14ac:dyDescent="0.2"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</row>
    <row r="101" spans="5:24" ht="15.75" customHeight="1" x14ac:dyDescent="0.2"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</row>
    <row r="102" spans="5:24" ht="15.75" customHeight="1" x14ac:dyDescent="0.2"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</row>
    <row r="103" spans="5:24" ht="15.75" customHeight="1" x14ac:dyDescent="0.2"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</row>
    <row r="104" spans="5:24" ht="15.75" customHeight="1" x14ac:dyDescent="0.2"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</row>
    <row r="105" spans="5:24" ht="15.75" customHeight="1" x14ac:dyDescent="0.2"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</row>
    <row r="106" spans="5:24" ht="15.75" customHeight="1" x14ac:dyDescent="0.2"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</row>
    <row r="107" spans="5:24" ht="15.75" customHeight="1" x14ac:dyDescent="0.2"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</row>
    <row r="108" spans="5:24" ht="15.75" customHeight="1" x14ac:dyDescent="0.2"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</row>
    <row r="109" spans="5:24" ht="15.75" customHeight="1" x14ac:dyDescent="0.2"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</row>
    <row r="110" spans="5:24" ht="15.75" customHeight="1" x14ac:dyDescent="0.2"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</row>
    <row r="111" spans="5:24" ht="15.75" customHeight="1" x14ac:dyDescent="0.2"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</row>
    <row r="112" spans="5:24" ht="15.75" customHeight="1" x14ac:dyDescent="0.2"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</row>
    <row r="113" spans="5:24" ht="15.75" customHeight="1" x14ac:dyDescent="0.2"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</row>
    <row r="114" spans="5:24" ht="15.75" customHeight="1" x14ac:dyDescent="0.2"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</row>
    <row r="115" spans="2:24" ht="15.75" customHeight="1" x14ac:dyDescent="0.2"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</row>
    <row r="116" spans="2:24" ht="15.75" customHeight="1" x14ac:dyDescent="0.2"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</row>
    <row r="117" spans="2:24" ht="15.75" customHeight="1" x14ac:dyDescent="0.2"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</row>
    <row r="118" spans="2:24" ht="15.75" customHeight="1" x14ac:dyDescent="0.2"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</row>
    <row r="119" spans="2:24" ht="15.75" customHeight="1" x14ac:dyDescent="0.2"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</row>
    <row r="120" spans="2:24" ht="15.75" customHeight="1" x14ac:dyDescent="0.2"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</row>
    <row r="121" spans="2:24" ht="15.75" customHeight="1" x14ac:dyDescent="0.2"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</row>
    <row r="122" spans="2:24" ht="15.75" customHeight="1" x14ac:dyDescent="0.2"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</row>
    <row r="123" spans="2:24" ht="15.75" customHeight="1" x14ac:dyDescent="0.2"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</row>
    <row r="124" spans="2:24" ht="15.75" customHeight="1" x14ac:dyDescent="0.2"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</row>
    <row r="125" spans="2:24" ht="15.75" customHeight="1" x14ac:dyDescent="0.2"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</row>
    <row r="126" spans="2:24" ht="15.75" customHeight="1" x14ac:dyDescent="0.2"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</row>
    <row r="127" spans="2:24" ht="15.75" customHeight="1" x14ac:dyDescent="0.2"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</row>
    <row r="128" spans="2:24" ht="15.75" customHeight="1" x14ac:dyDescent="0.2"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</row>
    <row r="129" spans="2:24" ht="15.75" customHeight="1" x14ac:dyDescent="0.2"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</row>
    <row r="130" spans="2:24" ht="15.75" customHeight="1" x14ac:dyDescent="0.2"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</row>
    <row r="131" spans="2:24" ht="15.75" customHeight="1" x14ac:dyDescent="0.2"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</row>
    <row r="132" spans="2:24" ht="15.75" customHeight="1" x14ac:dyDescent="0.2"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</row>
    <row r="133" spans="2:24" ht="15.75" customHeight="1" x14ac:dyDescent="0.2"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</row>
    <row r="134" spans="2:24" ht="15.75" customHeight="1" x14ac:dyDescent="0.2"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</row>
    <row r="135" spans="2:24" ht="15.75" customHeight="1" x14ac:dyDescent="0.2"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</row>
    <row r="136" spans="2:24" ht="15.75" customHeight="1" x14ac:dyDescent="0.2"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</row>
    <row r="137" spans="2:24" ht="15.75" customHeight="1" x14ac:dyDescent="0.2"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</row>
    <row r="138" spans="2:24" ht="15.75" customHeight="1" x14ac:dyDescent="0.2"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</row>
    <row r="139" spans="2:24" ht="15.75" customHeight="1" x14ac:dyDescent="0.2"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</row>
    <row r="140" spans="2:24" ht="15.75" customHeight="1" x14ac:dyDescent="0.2"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</row>
    <row r="141" spans="2:24" ht="15.75" customHeight="1" x14ac:dyDescent="0.2"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</row>
    <row r="142" spans="2:24" ht="15.75" customHeight="1" x14ac:dyDescent="0.2"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</row>
    <row r="143" spans="2:24" ht="15.75" customHeight="1" x14ac:dyDescent="0.2"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</row>
    <row r="144" spans="2:24" ht="15.75" customHeight="1" x14ac:dyDescent="0.2"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</row>
    <row r="145" spans="2:24" ht="15.75" customHeight="1" x14ac:dyDescent="0.2"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</row>
    <row r="146" spans="2:24" ht="15.75" customHeight="1" x14ac:dyDescent="0.2"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</row>
    <row r="147" spans="2:24" ht="15.75" customHeight="1" x14ac:dyDescent="0.2"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</row>
    <row r="148" spans="2:24" ht="15.75" customHeight="1" x14ac:dyDescent="0.2"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</row>
    <row r="149" spans="2:24" ht="15.75" customHeight="1" x14ac:dyDescent="0.2"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</row>
    <row r="150" spans="2:24" ht="15.75" customHeight="1" x14ac:dyDescent="0.2"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</row>
    <row r="151" spans="2:24" ht="15.75" customHeight="1" x14ac:dyDescent="0.2"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</row>
    <row r="152" spans="2:24" ht="15.75" customHeight="1" x14ac:dyDescent="0.2"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</row>
    <row r="153" spans="2:24" ht="15.75" customHeight="1" x14ac:dyDescent="0.2"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</row>
    <row r="154" spans="2:24" ht="15.75" customHeight="1" x14ac:dyDescent="0.2"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</row>
    <row r="155" spans="2:24" ht="15.75" customHeight="1" x14ac:dyDescent="0.2"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</row>
    <row r="156" spans="2:24" ht="15.75" customHeight="1" x14ac:dyDescent="0.2"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</row>
    <row r="157" spans="2:24" ht="15.75" customHeight="1" x14ac:dyDescent="0.2"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</row>
    <row r="158" spans="2:24" ht="15.75" customHeight="1" x14ac:dyDescent="0.2"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</row>
    <row r="159" spans="2:24" ht="15.75" customHeight="1" x14ac:dyDescent="0.2"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</row>
    <row r="160" spans="2:24" ht="15.75" customHeight="1" x14ac:dyDescent="0.2"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</row>
    <row r="161" spans="2:24" ht="15.75" customHeight="1" x14ac:dyDescent="0.2"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</row>
    <row r="162" spans="2:24" ht="15.75" customHeight="1" x14ac:dyDescent="0.2"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</row>
    <row r="163" spans="2:24" ht="15.75" customHeight="1" x14ac:dyDescent="0.2"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</row>
    <row r="164" spans="2:24" ht="15.75" customHeight="1" x14ac:dyDescent="0.2"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</row>
    <row r="165" spans="2:24" ht="15.75" customHeight="1" x14ac:dyDescent="0.2"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</row>
    <row r="166" spans="2:24" ht="15.75" customHeight="1" x14ac:dyDescent="0.2"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</row>
    <row r="167" spans="2:24" ht="15.75" customHeight="1" x14ac:dyDescent="0.2"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</row>
    <row r="168" spans="2:24" ht="15.75" customHeight="1" x14ac:dyDescent="0.2"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</row>
    <row r="169" spans="2:24" ht="15.75" customHeight="1" x14ac:dyDescent="0.2"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</row>
    <row r="170" spans="2:24" ht="15.75" customHeight="1" x14ac:dyDescent="0.2"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</row>
    <row r="171" spans="2:24" ht="15.75" customHeight="1" x14ac:dyDescent="0.2"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</row>
    <row r="172" spans="2:24" ht="15.75" customHeight="1" x14ac:dyDescent="0.2"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</row>
    <row r="173" spans="2:24" ht="15.75" customHeight="1" x14ac:dyDescent="0.2"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</row>
    <row r="174" spans="2:24" ht="15.75" customHeight="1" x14ac:dyDescent="0.2"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</row>
    <row r="175" spans="2:24" ht="15.75" customHeight="1" x14ac:dyDescent="0.2"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</row>
    <row r="176" spans="2:24" ht="15.75" customHeight="1" x14ac:dyDescent="0.2"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</row>
    <row r="177" spans="2:24" ht="15.75" customHeight="1" x14ac:dyDescent="0.2"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</row>
    <row r="178" spans="2:24" ht="15.75" customHeight="1" x14ac:dyDescent="0.2"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</row>
    <row r="179" spans="2:24" ht="15.75" customHeight="1" x14ac:dyDescent="0.2"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</row>
    <row r="180" spans="2:24" ht="15.75" customHeight="1" x14ac:dyDescent="0.2"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</row>
    <row r="181" spans="2:24" ht="15.75" customHeight="1" x14ac:dyDescent="0.2"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</row>
    <row r="182" spans="2:24" ht="15.75" customHeight="1" x14ac:dyDescent="0.2"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</row>
    <row r="183" spans="2:24" ht="15.75" customHeight="1" x14ac:dyDescent="0.2"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</row>
    <row r="184" spans="2:24" ht="15.75" customHeight="1" x14ac:dyDescent="0.2"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</row>
    <row r="185" spans="2:24" ht="15.75" customHeight="1" x14ac:dyDescent="0.2"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</row>
    <row r="186" spans="2:24" ht="15.75" customHeight="1" x14ac:dyDescent="0.2"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</row>
    <row r="187" spans="2:24" ht="15.75" customHeight="1" x14ac:dyDescent="0.2"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</row>
    <row r="188" spans="2:24" ht="15.75" customHeight="1" x14ac:dyDescent="0.2"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</row>
    <row r="189" spans="2:24" ht="15.75" customHeight="1" x14ac:dyDescent="0.2"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</row>
    <row r="190" spans="2:24" ht="15.75" customHeight="1" x14ac:dyDescent="0.2"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</row>
    <row r="191" spans="2:24" ht="15.75" customHeight="1" x14ac:dyDescent="0.2"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</row>
    <row r="192" spans="2:24" ht="15.75" customHeight="1" x14ac:dyDescent="0.2"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</row>
    <row r="193" spans="2:24" ht="15.75" customHeight="1" x14ac:dyDescent="0.2"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</row>
    <row r="194" spans="2:24" ht="15.75" customHeight="1" x14ac:dyDescent="0.2"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</row>
    <row r="195" spans="2:24" ht="15.75" customHeight="1" x14ac:dyDescent="0.2"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</row>
    <row r="196" spans="2:24" ht="15.75" customHeight="1" x14ac:dyDescent="0.2"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</row>
    <row r="197" spans="2:24" ht="15.75" customHeight="1" x14ac:dyDescent="0.2"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</row>
    <row r="198" spans="2:24" ht="15.75" customHeight="1" x14ac:dyDescent="0.2"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</row>
    <row r="199" spans="2:24" ht="15.75" customHeight="1" x14ac:dyDescent="0.2"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</row>
    <row r="200" spans="2:24" ht="15.75" customHeight="1" x14ac:dyDescent="0.2"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</row>
    <row r="201" spans="2:24" ht="15.75" customHeight="1" x14ac:dyDescent="0.2"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</row>
    <row r="202" spans="2:24" ht="15.75" customHeight="1" x14ac:dyDescent="0.2"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</row>
    <row r="203" spans="2:24" ht="15.75" customHeight="1" x14ac:dyDescent="0.2"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</row>
    <row r="204" spans="2:24" ht="15.75" customHeight="1" x14ac:dyDescent="0.2"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</row>
    <row r="205" spans="2:24" ht="15.75" customHeight="1" x14ac:dyDescent="0.2"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</row>
    <row r="206" spans="2:24" ht="15.75" customHeight="1" x14ac:dyDescent="0.2"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</row>
    <row r="207" spans="2:24" ht="15.75" customHeight="1" x14ac:dyDescent="0.2"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</row>
    <row r="208" spans="2:24" ht="15.75" customHeight="1" x14ac:dyDescent="0.2"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</row>
    <row r="209" spans="2:24" ht="15.75" customHeight="1" x14ac:dyDescent="0.2"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</row>
    <row r="210" spans="2:24" ht="15.75" customHeight="1" x14ac:dyDescent="0.2"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</row>
    <row r="211" spans="2:24" ht="15.75" customHeight="1" x14ac:dyDescent="0.2"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</row>
    <row r="212" spans="2:24" ht="15.75" customHeight="1" x14ac:dyDescent="0.2"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</row>
    <row r="213" spans="2:24" ht="15.75" customHeight="1" x14ac:dyDescent="0.2"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</row>
    <row r="214" spans="2:24" ht="15.75" customHeight="1" x14ac:dyDescent="0.2"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</row>
    <row r="215" spans="2:24" ht="15.75" customHeight="1" x14ac:dyDescent="0.2"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</row>
    <row r="216" spans="2:24" ht="15.75" customHeight="1" x14ac:dyDescent="0.2"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</row>
    <row r="217" spans="2:24" ht="15.75" customHeight="1" x14ac:dyDescent="0.2"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</row>
    <row r="218" spans="2:24" ht="15.75" customHeight="1" x14ac:dyDescent="0.2"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</row>
    <row r="219" spans="2:24" ht="15.75" customHeight="1" x14ac:dyDescent="0.2"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</row>
    <row r="220" spans="2:24" ht="15.75" customHeight="1" x14ac:dyDescent="0.2"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</row>
    <row r="221" spans="2:24" ht="15.75" customHeight="1" x14ac:dyDescent="0.2"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</row>
    <row r="222" spans="2:24" ht="15.75" customHeight="1" x14ac:dyDescent="0.2"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</row>
    <row r="223" spans="2:24" ht="15.75" customHeight="1" x14ac:dyDescent="0.2"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</row>
    <row r="224" spans="2:24" ht="15.75" customHeight="1" x14ac:dyDescent="0.2"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</row>
    <row r="225" spans="2:24" ht="15.75" customHeight="1" x14ac:dyDescent="0.2"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</row>
    <row r="226" spans="2:24" ht="15.75" customHeight="1" x14ac:dyDescent="0.2"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</row>
    <row r="227" spans="2:24" ht="15.75" customHeight="1" x14ac:dyDescent="0.2"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</row>
    <row r="228" spans="2:24" ht="15.75" customHeight="1" x14ac:dyDescent="0.2"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</row>
    <row r="229" spans="2:24" ht="15.75" customHeight="1" x14ac:dyDescent="0.2"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</row>
    <row r="230" spans="2:24" ht="15.75" customHeight="1" x14ac:dyDescent="0.2"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</row>
    <row r="231" spans="2:24" ht="15.75" customHeight="1" x14ac:dyDescent="0.2"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</row>
    <row r="232" spans="2:24" ht="15.75" customHeight="1" x14ac:dyDescent="0.2"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</row>
    <row r="233" spans="2:24" ht="15.75" customHeight="1" x14ac:dyDescent="0.2"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</row>
    <row r="234" spans="2:24" ht="15.75" customHeight="1" x14ac:dyDescent="0.2"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</row>
    <row r="235" spans="2:24" ht="15.75" customHeight="1" x14ac:dyDescent="0.2"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</row>
    <row r="236" spans="2:24" ht="15.75" customHeight="1" x14ac:dyDescent="0.2"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</row>
    <row r="237" spans="2:24" ht="15.75" customHeight="1" x14ac:dyDescent="0.2"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</row>
    <row r="238" spans="2:24" ht="15.75" customHeight="1" x14ac:dyDescent="0.2"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</row>
    <row r="239" spans="2:24" ht="15.75" customHeight="1" x14ac:dyDescent="0.2"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</row>
    <row r="240" spans="2:24" ht="15.75" customHeight="1" x14ac:dyDescent="0.2"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</row>
    <row r="241" spans="2:24" ht="15.75" customHeight="1" x14ac:dyDescent="0.2"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</row>
    <row r="242" spans="2:24" ht="15.75" customHeight="1" x14ac:dyDescent="0.2"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</row>
    <row r="243" spans="2:24" ht="15.75" customHeight="1" x14ac:dyDescent="0.2"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</row>
    <row r="244" spans="2:24" ht="15.75" customHeight="1" x14ac:dyDescent="0.2"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</row>
    <row r="245" spans="2:24" ht="15.75" customHeight="1" x14ac:dyDescent="0.2"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</row>
    <row r="246" spans="2:24" ht="15.75" customHeight="1" x14ac:dyDescent="0.2"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</row>
    <row r="247" spans="2:24" ht="15.75" customHeight="1" x14ac:dyDescent="0.2"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</row>
    <row r="248" spans="2:24" ht="15.75" customHeight="1" x14ac:dyDescent="0.2"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</row>
    <row r="249" spans="2:24" ht="15.75" customHeight="1" x14ac:dyDescent="0.2"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</row>
    <row r="250" spans="2:24" ht="15.75" customHeight="1" x14ac:dyDescent="0.2"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</row>
    <row r="251" spans="2:24" ht="15.75" customHeight="1" x14ac:dyDescent="0.2"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</row>
    <row r="252" spans="2:24" ht="15.75" customHeight="1" x14ac:dyDescent="0.2"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</row>
    <row r="253" spans="2:24" ht="15.75" customHeight="1" x14ac:dyDescent="0.2"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</row>
    <row r="254" spans="2:24" ht="15.75" customHeight="1" x14ac:dyDescent="0.2"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</row>
    <row r="255" spans="2:24" ht="15.75" customHeight="1" x14ac:dyDescent="0.2"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</row>
    <row r="256" spans="2:24" ht="15.75" customHeight="1" x14ac:dyDescent="0.2"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</row>
    <row r="257" spans="2:24" ht="15.75" customHeight="1" x14ac:dyDescent="0.2"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</row>
    <row r="258" spans="2:24" ht="15.75" customHeight="1" x14ac:dyDescent="0.2"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</row>
    <row r="259" spans="2:24" ht="15.75" customHeight="1" x14ac:dyDescent="0.2"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</row>
    <row r="260" spans="2:24" ht="15.75" customHeight="1" x14ac:dyDescent="0.2"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</row>
    <row r="261" spans="2:24" ht="15.75" customHeight="1" x14ac:dyDescent="0.2"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</row>
    <row r="262" spans="2:24" ht="15.75" customHeight="1" x14ac:dyDescent="0.2"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</row>
    <row r="263" spans="2:24" ht="15.75" customHeight="1" x14ac:dyDescent="0.2"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</row>
    <row r="264" spans="2:24" ht="15.75" customHeight="1" x14ac:dyDescent="0.2"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</row>
    <row r="265" spans="2:24" ht="15.75" customHeight="1" x14ac:dyDescent="0.2"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</row>
    <row r="266" spans="2:24" ht="15.75" customHeight="1" x14ac:dyDescent="0.2"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</row>
    <row r="267" spans="2:24" ht="15.75" customHeight="1" x14ac:dyDescent="0.2"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</row>
    <row r="268" spans="2:24" ht="15.75" customHeight="1" x14ac:dyDescent="0.2"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</row>
    <row r="269" spans="2:24" ht="15.75" customHeight="1" x14ac:dyDescent="0.2"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</row>
    <row r="270" spans="2:24" ht="15.75" customHeight="1" x14ac:dyDescent="0.2"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</row>
    <row r="271" spans="2:24" ht="15.75" customHeight="1" x14ac:dyDescent="0.2"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</row>
    <row r="272" spans="2:24" ht="15.75" customHeight="1" x14ac:dyDescent="0.2"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</row>
    <row r="273" spans="2:24" ht="15.75" customHeight="1" x14ac:dyDescent="0.2"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</row>
    <row r="274" spans="2:24" ht="15.75" customHeight="1" x14ac:dyDescent="0.2"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</row>
    <row r="275" spans="2:24" ht="15.75" customHeight="1" x14ac:dyDescent="0.2"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</row>
    <row r="276" spans="2:24" ht="15.75" customHeight="1" x14ac:dyDescent="0.2"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</row>
    <row r="277" spans="2:24" ht="15.75" customHeight="1" x14ac:dyDescent="0.2"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</row>
    <row r="278" spans="2:24" ht="15.75" customHeight="1" x14ac:dyDescent="0.2"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</row>
    <row r="279" spans="2:24" ht="15.75" customHeight="1" x14ac:dyDescent="0.2"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</row>
    <row r="280" spans="2:24" ht="15.75" customHeight="1" x14ac:dyDescent="0.2"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</row>
    <row r="281" spans="2:24" ht="15.75" customHeight="1" x14ac:dyDescent="0.2"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</row>
    <row r="282" spans="2:24" ht="15.75" customHeight="1" x14ac:dyDescent="0.2"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</row>
    <row r="283" spans="2:24" ht="15.75" customHeight="1" x14ac:dyDescent="0.2"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</row>
    <row r="284" spans="2:24" ht="15.75" customHeight="1" x14ac:dyDescent="0.2"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</row>
    <row r="285" spans="2:24" ht="15.75" customHeight="1" x14ac:dyDescent="0.2"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</row>
    <row r="286" spans="2:24" ht="15.75" customHeight="1" x14ac:dyDescent="0.2"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</row>
    <row r="287" spans="2:24" ht="15.75" customHeight="1" x14ac:dyDescent="0.2"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</row>
    <row r="288" spans="2:24" ht="15.75" customHeight="1" x14ac:dyDescent="0.2"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</row>
    <row r="289" spans="2:24" ht="15.75" customHeight="1" x14ac:dyDescent="0.2"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</row>
    <row r="290" spans="2:24" ht="15.75" customHeight="1" x14ac:dyDescent="0.2"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</row>
    <row r="291" spans="2:24" ht="15.75" customHeight="1" x14ac:dyDescent="0.2"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</row>
    <row r="292" spans="2:24" ht="15.75" customHeight="1" x14ac:dyDescent="0.2"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</row>
    <row r="293" spans="2:24" ht="15.75" customHeight="1" x14ac:dyDescent="0.2"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</row>
    <row r="294" spans="2:24" ht="15.75" customHeight="1" x14ac:dyDescent="0.2"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</row>
    <row r="295" spans="2:24" ht="15.75" customHeight="1" x14ac:dyDescent="0.2"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</row>
    <row r="296" spans="2:24" ht="15.75" customHeight="1" x14ac:dyDescent="0.2"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</row>
    <row r="297" spans="2:24" ht="15.75" customHeight="1" x14ac:dyDescent="0.2"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</row>
    <row r="298" spans="2:24" ht="15.75" customHeight="1" x14ac:dyDescent="0.2"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</row>
    <row r="299" spans="2:24" ht="15.75" customHeight="1" x14ac:dyDescent="0.2"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</row>
    <row r="300" spans="2:24" ht="15.75" customHeight="1" x14ac:dyDescent="0.2"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</row>
    <row r="301" spans="2:24" ht="15.75" customHeight="1" x14ac:dyDescent="0.2"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</row>
    <row r="302" spans="2:24" ht="15.75" customHeight="1" x14ac:dyDescent="0.2"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</row>
    <row r="303" spans="2:24" ht="15.75" customHeight="1" x14ac:dyDescent="0.2"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</row>
    <row r="304" spans="2:24" ht="15.75" customHeight="1" x14ac:dyDescent="0.2"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</row>
    <row r="305" spans="2:24" ht="15.75" customHeight="1" x14ac:dyDescent="0.2"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</row>
    <row r="306" spans="2:24" ht="15.75" customHeight="1" x14ac:dyDescent="0.2"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</row>
    <row r="307" spans="2:24" ht="15.75" customHeight="1" x14ac:dyDescent="0.2"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</row>
    <row r="308" spans="2:24" ht="15.75" customHeight="1" x14ac:dyDescent="0.2"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</row>
    <row r="309" spans="2:24" ht="15.75" customHeight="1" x14ac:dyDescent="0.2"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</row>
    <row r="310" spans="2:24" ht="15.75" customHeight="1" x14ac:dyDescent="0.2"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</row>
    <row r="311" spans="2:24" ht="15.75" customHeight="1" x14ac:dyDescent="0.2"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</row>
    <row r="312" spans="2:24" ht="15.75" customHeight="1" x14ac:dyDescent="0.2"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</row>
    <row r="313" spans="2:24" ht="15.75" customHeight="1" x14ac:dyDescent="0.2"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</row>
    <row r="314" spans="2:24" ht="15.75" customHeight="1" x14ac:dyDescent="0.2"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</row>
    <row r="315" spans="2:24" ht="15.75" customHeight="1" x14ac:dyDescent="0.2"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</row>
    <row r="316" spans="2:24" ht="15.75" customHeight="1" x14ac:dyDescent="0.2"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</row>
    <row r="317" spans="2:24" ht="15.75" customHeight="1" x14ac:dyDescent="0.2"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</row>
    <row r="318" spans="2:24" ht="15.75" customHeight="1" x14ac:dyDescent="0.2"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</row>
    <row r="319" spans="2:24" ht="15.75" customHeight="1" x14ac:dyDescent="0.2"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</row>
    <row r="320" spans="2:24" ht="15.75" customHeight="1" x14ac:dyDescent="0.2"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</row>
    <row r="321" spans="2:24" ht="15.75" customHeight="1" x14ac:dyDescent="0.2"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</row>
    <row r="322" spans="2:24" ht="15.75" customHeight="1" x14ac:dyDescent="0.2"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</row>
    <row r="323" spans="2:24" ht="15.75" customHeight="1" x14ac:dyDescent="0.2"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</row>
    <row r="324" spans="2:24" ht="15.75" customHeight="1" x14ac:dyDescent="0.2"/>
    <row r="325" spans="2:24" ht="15.75" customHeight="1" x14ac:dyDescent="0.2"/>
    <row r="326" spans="2:24" ht="15.75" customHeight="1" x14ac:dyDescent="0.2"/>
    <row r="327" spans="2:24" ht="15.75" customHeight="1" x14ac:dyDescent="0.2"/>
    <row r="328" spans="2:24" ht="15.75" customHeight="1" x14ac:dyDescent="0.2"/>
    <row r="329" spans="2:24" ht="15.75" customHeight="1" x14ac:dyDescent="0.2"/>
    <row r="330" spans="2:24" ht="15.75" customHeight="1" x14ac:dyDescent="0.2"/>
    <row r="331" spans="2:24" ht="15.75" customHeight="1" x14ac:dyDescent="0.2"/>
    <row r="332" spans="2:24" ht="15.75" customHeight="1" x14ac:dyDescent="0.2"/>
    <row r="333" spans="2:24" ht="15.75" customHeight="1" x14ac:dyDescent="0.2"/>
    <row r="334" spans="2:24" ht="15.75" customHeight="1" x14ac:dyDescent="0.2"/>
    <row r="335" spans="2:24" ht="15.75" customHeight="1" x14ac:dyDescent="0.2"/>
    <row r="336" spans="2:24" ht="15.75" customHeight="1" x14ac:dyDescent="0.2"/>
    <row r="337" spans="2:24" ht="15.75" customHeight="1" x14ac:dyDescent="0.2"/>
    <row r="338" spans="2:24" ht="15.75" customHeight="1" x14ac:dyDescent="0.2"/>
    <row r="339" customFormat="1" ht="15.75" customHeight="1" x14ac:dyDescent="0.2"/>
    <row r="340" customFormat="1" ht="15.75" customHeight="1" x14ac:dyDescent="0.2"/>
    <row r="341" customFormat="1" ht="15.75" customHeight="1" x14ac:dyDescent="0.2"/>
    <row r="342" customFormat="1" ht="15.75" customHeight="1" x14ac:dyDescent="0.2"/>
    <row r="343" customFormat="1" ht="15.75" customHeight="1" x14ac:dyDescent="0.2"/>
    <row r="344" customFormat="1" ht="15.75" customHeight="1" x14ac:dyDescent="0.2"/>
    <row r="345" customFormat="1" ht="15.75" customHeight="1" x14ac:dyDescent="0.2"/>
    <row r="346" customFormat="1" ht="15.75" customHeight="1" x14ac:dyDescent="0.2"/>
    <row r="347" customFormat="1" ht="15.75" customHeight="1" x14ac:dyDescent="0.2"/>
    <row r="348" customFormat="1" ht="15.75" customHeight="1" x14ac:dyDescent="0.2"/>
    <row r="349" customFormat="1" ht="15.75" customHeight="1" x14ac:dyDescent="0.2"/>
    <row r="350" customFormat="1" ht="15.75" customHeight="1" x14ac:dyDescent="0.2"/>
    <row r="351" customFormat="1" ht="15.75" customHeight="1" x14ac:dyDescent="0.2"/>
    <row r="352" customFormat="1" ht="15.75" customHeight="1" x14ac:dyDescent="0.2"/>
    <row r="353" customFormat="1" ht="15.75" customHeight="1" x14ac:dyDescent="0.2"/>
    <row r="354" customFormat="1" ht="15.75" customHeight="1" x14ac:dyDescent="0.2"/>
    <row r="355" customFormat="1" ht="15.75" customHeight="1" x14ac:dyDescent="0.2"/>
    <row r="356" customFormat="1" ht="15.75" customHeight="1" x14ac:dyDescent="0.2"/>
    <row r="357" customFormat="1" ht="15.75" customHeight="1" x14ac:dyDescent="0.2"/>
    <row r="358" customFormat="1" ht="15.75" customHeight="1" x14ac:dyDescent="0.2"/>
    <row r="359" customFormat="1" ht="15.75" customHeight="1" x14ac:dyDescent="0.2"/>
    <row r="360" customFormat="1" ht="15.75" customHeight="1" x14ac:dyDescent="0.2"/>
    <row r="361" customFormat="1" ht="15.75" customHeight="1" x14ac:dyDescent="0.2"/>
    <row r="362" customFormat="1" ht="15.75" customHeight="1" x14ac:dyDescent="0.2"/>
    <row r="363" customFormat="1" ht="15.75" customHeight="1" x14ac:dyDescent="0.2"/>
    <row r="364" customFormat="1" ht="15.75" customHeight="1" x14ac:dyDescent="0.2"/>
    <row r="365" customFormat="1" ht="15.75" customHeight="1" x14ac:dyDescent="0.2"/>
    <row r="366" customFormat="1" ht="15.75" customHeight="1" x14ac:dyDescent="0.2"/>
    <row r="367" customFormat="1" ht="15.75" customHeight="1" x14ac:dyDescent="0.2"/>
    <row r="368" customFormat="1" ht="15.75" customHeight="1" x14ac:dyDescent="0.2"/>
    <row r="369" customFormat="1" ht="15.75" customHeight="1" x14ac:dyDescent="0.2"/>
    <row r="370" customFormat="1" ht="15.75" customHeight="1" x14ac:dyDescent="0.2"/>
    <row r="371" customFormat="1" ht="15.75" customHeight="1" x14ac:dyDescent="0.2"/>
    <row r="372" customFormat="1" ht="15.75" customHeight="1" x14ac:dyDescent="0.2"/>
    <row r="373" customFormat="1" ht="15.75" customHeight="1" x14ac:dyDescent="0.2"/>
    <row r="374" customFormat="1" ht="15.75" customHeight="1" x14ac:dyDescent="0.2"/>
    <row r="375" customFormat="1" ht="15.75" customHeight="1" x14ac:dyDescent="0.2"/>
    <row r="376" customFormat="1" ht="15.75" customHeight="1" x14ac:dyDescent="0.2"/>
    <row r="377" customFormat="1" ht="15.75" customHeight="1" x14ac:dyDescent="0.2"/>
    <row r="378" customFormat="1" ht="15.75" customHeight="1" x14ac:dyDescent="0.2"/>
    <row r="379" customFormat="1" ht="15.75" customHeight="1" x14ac:dyDescent="0.2"/>
    <row r="380" customFormat="1" ht="15.75" customHeight="1" x14ac:dyDescent="0.2"/>
    <row r="381" customFormat="1" ht="15.75" customHeight="1" x14ac:dyDescent="0.2"/>
    <row r="382" customFormat="1" ht="15.75" customHeight="1" x14ac:dyDescent="0.2"/>
    <row r="383" customFormat="1" ht="15.75" customHeight="1" x14ac:dyDescent="0.2"/>
    <row r="384" customFormat="1" ht="15.75" customHeight="1" x14ac:dyDescent="0.2"/>
    <row r="385" customFormat="1" ht="15.75" customHeight="1" x14ac:dyDescent="0.2"/>
    <row r="386" customFormat="1" ht="15.75" customHeight="1" x14ac:dyDescent="0.2"/>
    <row r="387" customFormat="1" ht="15.75" customHeight="1" x14ac:dyDescent="0.2"/>
    <row r="388" customFormat="1" ht="15.75" customHeight="1" x14ac:dyDescent="0.2"/>
    <row r="389" customFormat="1" ht="15.75" customHeight="1" x14ac:dyDescent="0.2"/>
    <row r="390" customFormat="1" ht="15.75" customHeight="1" x14ac:dyDescent="0.2"/>
    <row r="391" customFormat="1" ht="15.75" customHeight="1" x14ac:dyDescent="0.2"/>
    <row r="392" customFormat="1" ht="15.75" customHeight="1" x14ac:dyDescent="0.2"/>
    <row r="393" customFormat="1" ht="15.75" customHeight="1" x14ac:dyDescent="0.2"/>
    <row r="394" customFormat="1" ht="15.75" customHeight="1" x14ac:dyDescent="0.2"/>
    <row r="395" customFormat="1" ht="15.75" customHeight="1" x14ac:dyDescent="0.2"/>
    <row r="396" customFormat="1" ht="15.75" customHeight="1" x14ac:dyDescent="0.2"/>
    <row r="397" customFormat="1" ht="15.75" customHeight="1" x14ac:dyDescent="0.2"/>
    <row r="398" customFormat="1" ht="15.75" customHeight="1" x14ac:dyDescent="0.2"/>
    <row r="399" customFormat="1" ht="15.75" customHeight="1" x14ac:dyDescent="0.2"/>
    <row r="400" customFormat="1" ht="15.75" customHeight="1" x14ac:dyDescent="0.2"/>
    <row r="401" customFormat="1" ht="15.75" customHeight="1" x14ac:dyDescent="0.2"/>
    <row r="402" customFormat="1" ht="15.75" customHeight="1" x14ac:dyDescent="0.2"/>
    <row r="403" customFormat="1" ht="15.75" customHeight="1" x14ac:dyDescent="0.2"/>
    <row r="404" customFormat="1" ht="15.75" customHeight="1" x14ac:dyDescent="0.2"/>
    <row r="405" customFormat="1" ht="15.75" customHeight="1" x14ac:dyDescent="0.2"/>
    <row r="406" customFormat="1" ht="15.75" customHeight="1" x14ac:dyDescent="0.2"/>
    <row r="407" customFormat="1" ht="15.75" customHeight="1" x14ac:dyDescent="0.2"/>
    <row r="408" customFormat="1" ht="15.75" customHeight="1" x14ac:dyDescent="0.2"/>
    <row r="409" customFormat="1" ht="15.75" customHeight="1" x14ac:dyDescent="0.2"/>
    <row r="410" customFormat="1" ht="15.75" customHeight="1" x14ac:dyDescent="0.2"/>
    <row r="411" customFormat="1" ht="15.75" customHeight="1" x14ac:dyDescent="0.2"/>
    <row r="412" customFormat="1" ht="15.75" customHeight="1" x14ac:dyDescent="0.2"/>
    <row r="413" customFormat="1" ht="15.75" customHeight="1" x14ac:dyDescent="0.2"/>
    <row r="414" customFormat="1" ht="15.75" customHeight="1" x14ac:dyDescent="0.2"/>
    <row r="415" customFormat="1" ht="15.75" customHeight="1" x14ac:dyDescent="0.2"/>
    <row r="416" customFormat="1" ht="15.75" customHeight="1" x14ac:dyDescent="0.2"/>
    <row r="417" customFormat="1" ht="15.75" customHeight="1" x14ac:dyDescent="0.2"/>
    <row r="418" customFormat="1" ht="15.75" customHeight="1" x14ac:dyDescent="0.2"/>
    <row r="419" customFormat="1" ht="15.75" customHeight="1" x14ac:dyDescent="0.2"/>
    <row r="420" customFormat="1" ht="15.75" customHeight="1" x14ac:dyDescent="0.2"/>
    <row r="421" customFormat="1" ht="15.75" customHeight="1" x14ac:dyDescent="0.2"/>
    <row r="422" customFormat="1" ht="15.75" customHeight="1" x14ac:dyDescent="0.2"/>
    <row r="423" customFormat="1" ht="15.75" customHeight="1" x14ac:dyDescent="0.2"/>
    <row r="424" customFormat="1" ht="15.75" customHeight="1" x14ac:dyDescent="0.2"/>
    <row r="425" customFormat="1" ht="15.75" customHeight="1" x14ac:dyDescent="0.2"/>
    <row r="426" customFormat="1" ht="15.75" customHeight="1" x14ac:dyDescent="0.2"/>
    <row r="427" customFormat="1" ht="15.75" customHeight="1" x14ac:dyDescent="0.2"/>
    <row r="428" customFormat="1" ht="15.75" customHeight="1" x14ac:dyDescent="0.2"/>
    <row r="429" customFormat="1" ht="15.75" customHeight="1" x14ac:dyDescent="0.2"/>
    <row r="430" customFormat="1" ht="15.75" customHeight="1" x14ac:dyDescent="0.2"/>
    <row r="431" customFormat="1" ht="15.75" customHeight="1" x14ac:dyDescent="0.2"/>
    <row r="432" customFormat="1" ht="15.75" customHeight="1" x14ac:dyDescent="0.2"/>
    <row r="433" customFormat="1" ht="15.75" customHeight="1" x14ac:dyDescent="0.2"/>
    <row r="434" customFormat="1" ht="15.75" customHeight="1" x14ac:dyDescent="0.2"/>
    <row r="435" customFormat="1" ht="15.75" customHeight="1" x14ac:dyDescent="0.2"/>
    <row r="436" customFormat="1" ht="15.75" customHeight="1" x14ac:dyDescent="0.2"/>
    <row r="437" customFormat="1" ht="15.75" customHeight="1" x14ac:dyDescent="0.2"/>
    <row r="438" customFormat="1" ht="15.75" customHeight="1" x14ac:dyDescent="0.2"/>
    <row r="439" customFormat="1" ht="15.75" customHeight="1" x14ac:dyDescent="0.2"/>
    <row r="440" customFormat="1" ht="15.75" customHeight="1" x14ac:dyDescent="0.2"/>
    <row r="441" customFormat="1" ht="15.75" customHeight="1" x14ac:dyDescent="0.2"/>
    <row r="442" customFormat="1" ht="15.75" customHeight="1" x14ac:dyDescent="0.2"/>
    <row r="443" customFormat="1" ht="15.75" customHeight="1" x14ac:dyDescent="0.2"/>
    <row r="444" customFormat="1" ht="15.75" customHeight="1" x14ac:dyDescent="0.2"/>
    <row r="445" customFormat="1" ht="15.75" customHeight="1" x14ac:dyDescent="0.2"/>
    <row r="446" customFormat="1" ht="15.75" customHeight="1" x14ac:dyDescent="0.2"/>
    <row r="447" customFormat="1" ht="15.75" customHeight="1" x14ac:dyDescent="0.2"/>
    <row r="448" customFormat="1" ht="15.75" customHeight="1" x14ac:dyDescent="0.2"/>
    <row r="449" customFormat="1" ht="15.75" customHeight="1" x14ac:dyDescent="0.2"/>
    <row r="450" customFormat="1" ht="15.75" customHeight="1" x14ac:dyDescent="0.2"/>
    <row r="451" customFormat="1" ht="15.75" customHeight="1" x14ac:dyDescent="0.2"/>
    <row r="452" customFormat="1" ht="15.75" customHeight="1" x14ac:dyDescent="0.2"/>
    <row r="453" customFormat="1" ht="15.75" customHeight="1" x14ac:dyDescent="0.2"/>
    <row r="454" customFormat="1" ht="15.75" customHeight="1" x14ac:dyDescent="0.2"/>
    <row r="455" customFormat="1" ht="15.75" customHeight="1" x14ac:dyDescent="0.2"/>
    <row r="456" customFormat="1" ht="15.75" customHeight="1" x14ac:dyDescent="0.2"/>
    <row r="457" customFormat="1" ht="15.75" customHeight="1" x14ac:dyDescent="0.2"/>
    <row r="458" customFormat="1" ht="15.75" customHeight="1" x14ac:dyDescent="0.2"/>
    <row r="459" customFormat="1" ht="15.75" customHeight="1" x14ac:dyDescent="0.2"/>
    <row r="460" customFormat="1" ht="15.75" customHeight="1" x14ac:dyDescent="0.2"/>
    <row r="461" customFormat="1" ht="15.75" customHeight="1" x14ac:dyDescent="0.2"/>
    <row r="462" customFormat="1" ht="15.75" customHeight="1" x14ac:dyDescent="0.2"/>
    <row r="463" customFormat="1" ht="15.75" customHeight="1" x14ac:dyDescent="0.2"/>
    <row r="464" customFormat="1" ht="15.75" customHeight="1" x14ac:dyDescent="0.2"/>
    <row r="465" customFormat="1" ht="15.75" customHeight="1" x14ac:dyDescent="0.2"/>
    <row r="466" customFormat="1" ht="15.75" customHeight="1" x14ac:dyDescent="0.2"/>
    <row r="467" customFormat="1" ht="15.75" customHeight="1" x14ac:dyDescent="0.2"/>
    <row r="468" customFormat="1" ht="15.75" customHeight="1" x14ac:dyDescent="0.2"/>
    <row r="469" customFormat="1" ht="15.75" customHeight="1" x14ac:dyDescent="0.2"/>
    <row r="470" customFormat="1" ht="15.75" customHeight="1" x14ac:dyDescent="0.2"/>
    <row r="471" customFormat="1" ht="15.75" customHeight="1" x14ac:dyDescent="0.2"/>
    <row r="472" customFormat="1" ht="15.75" customHeight="1" x14ac:dyDescent="0.2"/>
    <row r="473" customFormat="1" ht="15.75" customHeight="1" x14ac:dyDescent="0.2"/>
    <row r="474" customFormat="1" ht="15.75" customHeight="1" x14ac:dyDescent="0.2"/>
    <row r="475" customFormat="1" ht="15.75" customHeight="1" x14ac:dyDescent="0.2"/>
    <row r="476" customFormat="1" ht="15.75" customHeight="1" x14ac:dyDescent="0.2"/>
    <row r="477" customFormat="1" ht="15.75" customHeight="1" x14ac:dyDescent="0.2"/>
    <row r="478" customFormat="1" ht="15.75" customHeight="1" x14ac:dyDescent="0.2"/>
    <row r="479" customFormat="1" ht="15.75" customHeight="1" x14ac:dyDescent="0.2"/>
    <row r="480" customFormat="1" ht="15.75" customHeight="1" x14ac:dyDescent="0.2"/>
    <row r="481" customFormat="1" ht="15.75" customHeight="1" x14ac:dyDescent="0.2"/>
    <row r="482" customFormat="1" ht="15.75" customHeight="1" x14ac:dyDescent="0.2"/>
    <row r="483" customFormat="1" ht="15.75" customHeight="1" x14ac:dyDescent="0.2"/>
    <row r="484" customFormat="1" ht="15.75" customHeight="1" x14ac:dyDescent="0.2"/>
    <row r="485" customFormat="1" ht="15.75" customHeight="1" x14ac:dyDescent="0.2"/>
    <row r="486" customFormat="1" ht="15.75" customHeight="1" x14ac:dyDescent="0.2"/>
    <row r="487" customFormat="1" ht="15.75" customHeight="1" x14ac:dyDescent="0.2"/>
    <row r="488" customFormat="1" ht="15.75" customHeight="1" x14ac:dyDescent="0.2"/>
    <row r="489" customFormat="1" ht="15.75" customHeight="1" x14ac:dyDescent="0.2"/>
    <row r="490" customFormat="1" ht="15.75" customHeight="1" x14ac:dyDescent="0.2"/>
    <row r="491" customFormat="1" ht="15.75" customHeight="1" x14ac:dyDescent="0.2"/>
    <row r="492" customFormat="1" ht="15.75" customHeight="1" x14ac:dyDescent="0.2"/>
    <row r="493" customFormat="1" ht="15.75" customHeight="1" x14ac:dyDescent="0.2"/>
    <row r="494" customFormat="1" ht="15.75" customHeight="1" x14ac:dyDescent="0.2"/>
    <row r="495" customFormat="1" ht="15.75" customHeight="1" x14ac:dyDescent="0.2"/>
    <row r="496" customFormat="1" ht="15.75" customHeight="1" x14ac:dyDescent="0.2"/>
    <row r="497" customFormat="1" ht="15.75" customHeight="1" x14ac:dyDescent="0.2"/>
    <row r="498" customFormat="1" ht="15.75" customHeight="1" x14ac:dyDescent="0.2"/>
    <row r="499" customFormat="1" ht="15.75" customHeight="1" x14ac:dyDescent="0.2"/>
    <row r="500" customFormat="1" ht="15.75" customHeight="1" x14ac:dyDescent="0.2"/>
    <row r="501" customFormat="1" ht="15.75" customHeight="1" x14ac:dyDescent="0.2"/>
    <row r="502" customFormat="1" ht="15.75" customHeight="1" x14ac:dyDescent="0.2"/>
    <row r="503" customFormat="1" ht="15.75" customHeight="1" x14ac:dyDescent="0.2"/>
    <row r="504" customFormat="1" ht="15.75" customHeight="1" x14ac:dyDescent="0.2"/>
    <row r="505" customFormat="1" ht="15.75" customHeight="1" x14ac:dyDescent="0.2"/>
    <row r="506" customFormat="1" ht="15.75" customHeight="1" x14ac:dyDescent="0.2"/>
    <row r="507" customFormat="1" ht="15.75" customHeight="1" x14ac:dyDescent="0.2"/>
    <row r="508" customFormat="1" ht="15.75" customHeight="1" x14ac:dyDescent="0.2"/>
    <row r="509" customFormat="1" ht="15.75" customHeight="1" x14ac:dyDescent="0.2"/>
    <row r="510" customFormat="1" ht="15.75" customHeight="1" x14ac:dyDescent="0.2"/>
    <row r="511" customFormat="1" ht="15.75" customHeight="1" x14ac:dyDescent="0.2"/>
    <row r="512" customFormat="1" ht="15.75" customHeight="1" x14ac:dyDescent="0.2"/>
    <row r="513" customFormat="1" ht="15.75" customHeight="1" x14ac:dyDescent="0.2"/>
    <row r="514" customFormat="1" ht="15.75" customHeight="1" x14ac:dyDescent="0.2"/>
    <row r="515" customFormat="1" ht="15.75" customHeight="1" x14ac:dyDescent="0.2"/>
    <row r="516" customFormat="1" ht="15.75" customHeight="1" x14ac:dyDescent="0.2"/>
    <row r="517" customFormat="1" ht="15.75" customHeight="1" x14ac:dyDescent="0.2"/>
    <row r="518" customFormat="1" ht="15.75" customHeight="1" x14ac:dyDescent="0.2"/>
    <row r="519" customFormat="1" ht="15.75" customHeight="1" x14ac:dyDescent="0.2"/>
    <row r="520" customFormat="1" ht="15.75" customHeight="1" x14ac:dyDescent="0.2"/>
    <row r="521" customFormat="1" ht="15.75" customHeight="1" x14ac:dyDescent="0.2"/>
    <row r="522" customFormat="1" ht="15.75" customHeight="1" x14ac:dyDescent="0.2"/>
    <row r="523" customFormat="1" ht="15.75" customHeight="1" x14ac:dyDescent="0.2"/>
    <row r="524" customFormat="1" ht="15.75" customHeight="1" x14ac:dyDescent="0.2"/>
    <row r="525" customFormat="1" ht="15.75" customHeight="1" x14ac:dyDescent="0.2"/>
    <row r="526" customFormat="1" ht="15.75" customHeight="1" x14ac:dyDescent="0.2"/>
    <row r="527" customFormat="1" ht="15.75" customHeight="1" x14ac:dyDescent="0.2"/>
    <row r="528" customFormat="1" ht="15.75" customHeight="1" x14ac:dyDescent="0.2"/>
    <row r="529" customFormat="1" ht="15.75" customHeight="1" x14ac:dyDescent="0.2"/>
    <row r="530" customFormat="1" ht="15.75" customHeight="1" x14ac:dyDescent="0.2"/>
    <row r="531" customFormat="1" ht="15.75" customHeight="1" x14ac:dyDescent="0.2"/>
    <row r="532" customFormat="1" ht="15.75" customHeight="1" x14ac:dyDescent="0.2"/>
    <row r="533" customFormat="1" ht="15.75" customHeight="1" x14ac:dyDescent="0.2"/>
    <row r="534" customFormat="1" ht="15.75" customHeight="1" x14ac:dyDescent="0.2"/>
    <row r="535" customFormat="1" ht="15.75" customHeight="1" x14ac:dyDescent="0.2"/>
    <row r="536" customFormat="1" ht="15.75" customHeight="1" x14ac:dyDescent="0.2"/>
    <row r="537" customFormat="1" ht="15.75" customHeight="1" x14ac:dyDescent="0.2"/>
    <row r="538" customFormat="1" ht="15.75" customHeight="1" x14ac:dyDescent="0.2"/>
    <row r="539" customFormat="1" ht="15.75" customHeight="1" x14ac:dyDescent="0.2"/>
    <row r="540" customFormat="1" ht="15.75" customHeight="1" x14ac:dyDescent="0.2"/>
    <row r="541" customFormat="1" ht="15.75" customHeight="1" x14ac:dyDescent="0.2"/>
    <row r="542" customFormat="1" ht="15.75" customHeight="1" x14ac:dyDescent="0.2"/>
    <row r="543" customFormat="1" ht="15.75" customHeight="1" x14ac:dyDescent="0.2"/>
    <row r="544" customFormat="1" ht="15.75" customHeight="1" x14ac:dyDescent="0.2"/>
    <row r="545" customFormat="1" ht="15.75" customHeight="1" x14ac:dyDescent="0.2"/>
    <row r="546" customFormat="1" ht="15.75" customHeight="1" x14ac:dyDescent="0.2"/>
    <row r="547" customFormat="1" ht="15.75" customHeight="1" x14ac:dyDescent="0.2"/>
    <row r="548" customFormat="1" ht="15.75" customHeight="1" x14ac:dyDescent="0.2"/>
    <row r="549" customFormat="1" ht="15.75" customHeight="1" x14ac:dyDescent="0.2"/>
    <row r="550" customFormat="1" ht="15.75" customHeight="1" x14ac:dyDescent="0.2"/>
    <row r="551" customFormat="1" ht="15.75" customHeight="1" x14ac:dyDescent="0.2"/>
    <row r="552" customFormat="1" ht="15.75" customHeight="1" x14ac:dyDescent="0.2"/>
    <row r="553" customFormat="1" ht="15.75" customHeight="1" x14ac:dyDescent="0.2"/>
    <row r="554" customFormat="1" ht="15.75" customHeight="1" x14ac:dyDescent="0.2"/>
    <row r="555" customFormat="1" ht="15.75" customHeight="1" x14ac:dyDescent="0.2"/>
    <row r="556" customFormat="1" ht="15.75" customHeight="1" x14ac:dyDescent="0.2"/>
    <row r="557" customFormat="1" ht="15.75" customHeight="1" x14ac:dyDescent="0.2"/>
    <row r="558" customFormat="1" ht="15.75" customHeight="1" x14ac:dyDescent="0.2"/>
    <row r="559" customFormat="1" ht="15.75" customHeight="1" x14ac:dyDescent="0.2"/>
    <row r="560" customFormat="1" ht="15.75" customHeight="1" x14ac:dyDescent="0.2"/>
    <row r="561" customFormat="1" ht="15.75" customHeight="1" x14ac:dyDescent="0.2"/>
    <row r="562" customFormat="1" ht="15.75" customHeight="1" x14ac:dyDescent="0.2"/>
    <row r="563" customFormat="1" ht="15.75" customHeight="1" x14ac:dyDescent="0.2"/>
    <row r="564" customFormat="1" ht="15.75" customHeight="1" x14ac:dyDescent="0.2"/>
    <row r="565" customFormat="1" ht="15.75" customHeight="1" x14ac:dyDescent="0.2"/>
    <row r="566" customFormat="1" ht="15.75" customHeight="1" x14ac:dyDescent="0.2"/>
    <row r="567" customFormat="1" ht="15.75" customHeight="1" x14ac:dyDescent="0.2"/>
    <row r="568" customFormat="1" ht="15.75" customHeight="1" x14ac:dyDescent="0.2"/>
    <row r="569" customFormat="1" ht="15.75" customHeight="1" x14ac:dyDescent="0.2"/>
    <row r="570" customFormat="1" ht="15.75" customHeight="1" x14ac:dyDescent="0.2"/>
    <row r="571" customFormat="1" ht="15.75" customHeight="1" x14ac:dyDescent="0.2"/>
    <row r="572" customFormat="1" ht="15.75" customHeight="1" x14ac:dyDescent="0.2"/>
    <row r="573" customFormat="1" ht="15.75" customHeight="1" x14ac:dyDescent="0.2"/>
    <row r="574" customFormat="1" ht="15.75" customHeight="1" x14ac:dyDescent="0.2"/>
    <row r="575" customFormat="1" ht="15.75" customHeight="1" x14ac:dyDescent="0.2"/>
    <row r="576" customFormat="1" ht="15.75" customHeight="1" x14ac:dyDescent="0.2"/>
    <row r="577" customFormat="1" ht="15.75" customHeight="1" x14ac:dyDescent="0.2"/>
    <row r="578" customFormat="1" ht="15.75" customHeight="1" x14ac:dyDescent="0.2"/>
    <row r="579" customFormat="1" ht="15.75" customHeight="1" x14ac:dyDescent="0.2"/>
    <row r="580" customFormat="1" ht="15.75" customHeight="1" x14ac:dyDescent="0.2"/>
    <row r="581" customFormat="1" ht="15.75" customHeight="1" x14ac:dyDescent="0.2"/>
    <row r="582" customFormat="1" ht="15.75" customHeight="1" x14ac:dyDescent="0.2"/>
    <row r="583" customFormat="1" ht="15.75" customHeight="1" x14ac:dyDescent="0.2"/>
    <row r="584" customFormat="1" ht="15.75" customHeight="1" x14ac:dyDescent="0.2"/>
    <row r="585" customFormat="1" ht="15.75" customHeight="1" x14ac:dyDescent="0.2"/>
    <row r="586" customFormat="1" ht="15.75" customHeight="1" x14ac:dyDescent="0.2"/>
    <row r="587" customFormat="1" ht="15.75" customHeight="1" x14ac:dyDescent="0.2"/>
    <row r="588" customFormat="1" ht="15.75" customHeight="1" x14ac:dyDescent="0.2"/>
    <row r="589" customFormat="1" ht="15.75" customHeight="1" x14ac:dyDescent="0.2"/>
    <row r="590" customFormat="1" ht="15.75" customHeight="1" x14ac:dyDescent="0.2"/>
    <row r="591" customFormat="1" ht="15.75" customHeight="1" x14ac:dyDescent="0.2"/>
    <row r="592" customFormat="1" ht="15.75" customHeight="1" x14ac:dyDescent="0.2"/>
    <row r="593" customFormat="1" ht="15.75" customHeight="1" x14ac:dyDescent="0.2"/>
    <row r="594" customFormat="1" ht="15.75" customHeight="1" x14ac:dyDescent="0.2"/>
    <row r="595" customFormat="1" ht="15.75" customHeight="1" x14ac:dyDescent="0.2"/>
    <row r="596" customFormat="1" ht="15.75" customHeight="1" x14ac:dyDescent="0.2"/>
    <row r="597" customFormat="1" ht="15.75" customHeight="1" x14ac:dyDescent="0.2"/>
    <row r="598" customFormat="1" ht="15.75" customHeight="1" x14ac:dyDescent="0.2"/>
    <row r="599" customFormat="1" ht="15.75" customHeight="1" x14ac:dyDescent="0.2"/>
    <row r="600" customFormat="1" ht="15.75" customHeight="1" x14ac:dyDescent="0.2"/>
    <row r="601" customFormat="1" ht="15.75" customHeight="1" x14ac:dyDescent="0.2"/>
    <row r="602" customFormat="1" ht="15.75" customHeight="1" x14ac:dyDescent="0.2"/>
    <row r="603" customFormat="1" ht="15.75" customHeight="1" x14ac:dyDescent="0.2"/>
    <row r="604" customFormat="1" ht="15.75" customHeight="1" x14ac:dyDescent="0.2"/>
    <row r="605" customFormat="1" ht="15.75" customHeight="1" x14ac:dyDescent="0.2"/>
    <row r="606" customFormat="1" ht="15.75" customHeight="1" x14ac:dyDescent="0.2"/>
    <row r="607" customFormat="1" ht="15.75" customHeight="1" x14ac:dyDescent="0.2"/>
    <row r="608" customFormat="1" ht="15.75" customHeight="1" x14ac:dyDescent="0.2"/>
    <row r="609" customFormat="1" ht="15.75" customHeight="1" x14ac:dyDescent="0.2"/>
    <row r="610" customFormat="1" ht="15.75" customHeight="1" x14ac:dyDescent="0.2"/>
    <row r="611" customFormat="1" ht="15.75" customHeight="1" x14ac:dyDescent="0.2"/>
    <row r="612" customFormat="1" ht="15.75" customHeight="1" x14ac:dyDescent="0.2"/>
    <row r="613" customFormat="1" ht="15.75" customHeight="1" x14ac:dyDescent="0.2"/>
    <row r="614" customFormat="1" ht="15.75" customHeight="1" x14ac:dyDescent="0.2"/>
    <row r="615" customFormat="1" ht="15.75" customHeight="1" x14ac:dyDescent="0.2"/>
    <row r="616" customFormat="1" ht="15.75" customHeight="1" x14ac:dyDescent="0.2"/>
    <row r="617" customFormat="1" ht="15.75" customHeight="1" x14ac:dyDescent="0.2"/>
    <row r="618" customFormat="1" ht="15.75" customHeight="1" x14ac:dyDescent="0.2"/>
    <row r="619" customFormat="1" ht="15.75" customHeight="1" x14ac:dyDescent="0.2"/>
    <row r="620" customFormat="1" ht="15.75" customHeight="1" x14ac:dyDescent="0.2"/>
    <row r="621" customFormat="1" ht="15.75" customHeight="1" x14ac:dyDescent="0.2"/>
    <row r="622" customFormat="1" ht="15.75" customHeight="1" x14ac:dyDescent="0.2"/>
    <row r="623" customFormat="1" ht="15.75" customHeight="1" x14ac:dyDescent="0.2"/>
    <row r="624" customFormat="1" ht="15.75" customHeight="1" x14ac:dyDescent="0.2"/>
    <row r="625" customFormat="1" ht="15.75" customHeight="1" x14ac:dyDescent="0.2"/>
    <row r="626" customFormat="1" ht="15.75" customHeight="1" x14ac:dyDescent="0.2"/>
    <row r="627" customFormat="1" ht="15.75" customHeight="1" x14ac:dyDescent="0.2"/>
    <row r="628" customFormat="1" ht="15.75" customHeight="1" x14ac:dyDescent="0.2"/>
    <row r="629" customFormat="1" ht="15.75" customHeight="1" x14ac:dyDescent="0.2"/>
    <row r="630" customFormat="1" ht="15.75" customHeight="1" x14ac:dyDescent="0.2"/>
    <row r="631" customFormat="1" ht="15.75" customHeight="1" x14ac:dyDescent="0.2"/>
    <row r="632" customFormat="1" ht="15.75" customHeight="1" x14ac:dyDescent="0.2"/>
    <row r="633" customFormat="1" ht="15.75" customHeight="1" x14ac:dyDescent="0.2"/>
    <row r="634" customFormat="1" ht="15.75" customHeight="1" x14ac:dyDescent="0.2"/>
    <row r="635" customFormat="1" ht="15.75" customHeight="1" x14ac:dyDescent="0.2"/>
    <row r="636" customFormat="1" ht="15.75" customHeight="1" x14ac:dyDescent="0.2"/>
    <row r="637" customFormat="1" ht="15.75" customHeight="1" x14ac:dyDescent="0.2"/>
    <row r="638" customFormat="1" ht="15.75" customHeight="1" x14ac:dyDescent="0.2"/>
    <row r="639" customFormat="1" ht="15.75" customHeight="1" x14ac:dyDescent="0.2"/>
    <row r="640" customFormat="1" ht="15.75" customHeight="1" x14ac:dyDescent="0.2"/>
    <row r="641" customFormat="1" ht="15.75" customHeight="1" x14ac:dyDescent="0.2"/>
    <row r="642" customFormat="1" ht="15.75" customHeight="1" x14ac:dyDescent="0.2"/>
    <row r="643" customFormat="1" ht="15.75" customHeight="1" x14ac:dyDescent="0.2"/>
    <row r="644" customFormat="1" ht="15.75" customHeight="1" x14ac:dyDescent="0.2"/>
    <row r="645" customFormat="1" ht="15.75" customHeight="1" x14ac:dyDescent="0.2"/>
    <row r="646" customFormat="1" ht="15.75" customHeight="1" x14ac:dyDescent="0.2"/>
    <row r="647" customFormat="1" ht="15.75" customHeight="1" x14ac:dyDescent="0.2"/>
    <row r="648" customFormat="1" ht="15.75" customHeight="1" x14ac:dyDescent="0.2"/>
    <row r="649" customFormat="1" ht="15.75" customHeight="1" x14ac:dyDescent="0.2"/>
    <row r="650" customFormat="1" ht="15.75" customHeight="1" x14ac:dyDescent="0.2"/>
    <row r="651" customFormat="1" ht="15.75" customHeight="1" x14ac:dyDescent="0.2"/>
    <row r="652" customFormat="1" ht="15.75" customHeight="1" x14ac:dyDescent="0.2"/>
    <row r="653" customFormat="1" ht="15.75" customHeight="1" x14ac:dyDescent="0.2"/>
    <row r="654" customFormat="1" ht="15.75" customHeight="1" x14ac:dyDescent="0.2"/>
    <row r="655" customFormat="1" ht="15.75" customHeight="1" x14ac:dyDescent="0.2"/>
    <row r="656" customFormat="1" ht="15.75" customHeight="1" x14ac:dyDescent="0.2"/>
    <row r="657" customFormat="1" ht="15.75" customHeight="1" x14ac:dyDescent="0.2"/>
    <row r="658" customFormat="1" ht="15.75" customHeight="1" x14ac:dyDescent="0.2"/>
    <row r="659" customFormat="1" ht="15.75" customHeight="1" x14ac:dyDescent="0.2"/>
    <row r="660" customFormat="1" ht="15.75" customHeight="1" x14ac:dyDescent="0.2"/>
    <row r="661" customFormat="1" ht="15.75" customHeight="1" x14ac:dyDescent="0.2"/>
    <row r="662" customFormat="1" ht="15.75" customHeight="1" x14ac:dyDescent="0.2"/>
    <row r="663" customFormat="1" ht="15.75" customHeight="1" x14ac:dyDescent="0.2"/>
    <row r="664" customFormat="1" ht="15.75" customHeight="1" x14ac:dyDescent="0.2"/>
    <row r="665" customFormat="1" ht="15.75" customHeight="1" x14ac:dyDescent="0.2"/>
    <row r="666" customFormat="1" ht="15.75" customHeight="1" x14ac:dyDescent="0.2"/>
    <row r="667" customFormat="1" ht="15.75" customHeight="1" x14ac:dyDescent="0.2"/>
    <row r="668" customFormat="1" ht="15.75" customHeight="1" x14ac:dyDescent="0.2"/>
    <row r="669" customFormat="1" ht="15.75" customHeight="1" x14ac:dyDescent="0.2"/>
    <row r="670" customFormat="1" ht="15.75" customHeight="1" x14ac:dyDescent="0.2"/>
    <row r="671" customFormat="1" ht="15.75" customHeight="1" x14ac:dyDescent="0.2"/>
    <row r="672" customFormat="1" ht="15.75" customHeight="1" x14ac:dyDescent="0.2"/>
    <row r="673" customFormat="1" ht="15.75" customHeight="1" x14ac:dyDescent="0.2"/>
    <row r="674" customFormat="1" ht="15.75" customHeight="1" x14ac:dyDescent="0.2"/>
    <row r="675" customFormat="1" ht="15.75" customHeight="1" x14ac:dyDescent="0.2"/>
    <row r="676" customFormat="1" ht="15.75" customHeight="1" x14ac:dyDescent="0.2"/>
    <row r="677" customFormat="1" ht="15.75" customHeight="1" x14ac:dyDescent="0.2"/>
    <row r="678" customFormat="1" ht="15.75" customHeight="1" x14ac:dyDescent="0.2"/>
    <row r="679" customFormat="1" ht="15.75" customHeight="1" x14ac:dyDescent="0.2"/>
    <row r="680" customFormat="1" ht="15.75" customHeight="1" x14ac:dyDescent="0.2"/>
    <row r="681" customFormat="1" ht="15.75" customHeight="1" x14ac:dyDescent="0.2"/>
    <row r="682" customFormat="1" ht="15.75" customHeight="1" x14ac:dyDescent="0.2"/>
    <row r="683" customFormat="1" ht="15.75" customHeight="1" x14ac:dyDescent="0.2"/>
    <row r="684" customFormat="1" ht="15.75" customHeight="1" x14ac:dyDescent="0.2"/>
    <row r="685" customFormat="1" ht="15.75" customHeight="1" x14ac:dyDescent="0.2"/>
    <row r="686" customFormat="1" ht="15.75" customHeight="1" x14ac:dyDescent="0.2"/>
    <row r="687" customFormat="1" ht="15.75" customHeight="1" x14ac:dyDescent="0.2"/>
    <row r="688" customFormat="1" ht="15.75" customHeight="1" x14ac:dyDescent="0.2"/>
    <row r="689" customFormat="1" ht="15.75" customHeight="1" x14ac:dyDescent="0.2"/>
    <row r="690" customFormat="1" ht="15.75" customHeight="1" x14ac:dyDescent="0.2"/>
    <row r="691" customFormat="1" ht="15.75" customHeight="1" x14ac:dyDescent="0.2"/>
    <row r="692" customFormat="1" ht="15.75" customHeight="1" x14ac:dyDescent="0.2"/>
    <row r="693" customFormat="1" ht="15.75" customHeight="1" x14ac:dyDescent="0.2"/>
    <row r="694" customFormat="1" ht="15.75" customHeight="1" x14ac:dyDescent="0.2"/>
    <row r="695" customFormat="1" ht="15.75" customHeight="1" x14ac:dyDescent="0.2"/>
    <row r="696" customFormat="1" ht="15.75" customHeight="1" x14ac:dyDescent="0.2"/>
    <row r="697" customFormat="1" ht="15.75" customHeight="1" x14ac:dyDescent="0.2"/>
    <row r="698" customFormat="1" ht="15.75" customHeight="1" x14ac:dyDescent="0.2"/>
    <row r="699" customFormat="1" ht="15.75" customHeight="1" x14ac:dyDescent="0.2"/>
    <row r="700" customFormat="1" ht="15.75" customHeight="1" x14ac:dyDescent="0.2"/>
    <row r="701" customFormat="1" ht="15.75" customHeight="1" x14ac:dyDescent="0.2"/>
    <row r="702" customFormat="1" ht="15.75" customHeight="1" x14ac:dyDescent="0.2"/>
    <row r="703" customFormat="1" ht="15.75" customHeight="1" x14ac:dyDescent="0.2"/>
    <row r="704" customFormat="1" ht="15.75" customHeight="1" x14ac:dyDescent="0.2"/>
    <row r="705" customFormat="1" ht="15.75" customHeight="1" x14ac:dyDescent="0.2"/>
    <row r="706" customFormat="1" ht="15.75" customHeight="1" x14ac:dyDescent="0.2"/>
    <row r="707" customFormat="1" ht="15.75" customHeight="1" x14ac:dyDescent="0.2"/>
    <row r="708" customFormat="1" ht="15.75" customHeight="1" x14ac:dyDescent="0.2"/>
    <row r="709" customFormat="1" ht="15.75" customHeight="1" x14ac:dyDescent="0.2"/>
    <row r="710" customFormat="1" ht="15.75" customHeight="1" x14ac:dyDescent="0.2"/>
    <row r="711" customFormat="1" ht="15.75" customHeight="1" x14ac:dyDescent="0.2"/>
    <row r="712" customFormat="1" ht="15.75" customHeight="1" x14ac:dyDescent="0.2"/>
    <row r="713" customFormat="1" ht="15.75" customHeight="1" x14ac:dyDescent="0.2"/>
    <row r="714" customFormat="1" ht="15.75" customHeight="1" x14ac:dyDescent="0.2"/>
    <row r="715" customFormat="1" ht="15.75" customHeight="1" x14ac:dyDescent="0.2"/>
    <row r="716" customFormat="1" ht="15.75" customHeight="1" x14ac:dyDescent="0.2"/>
    <row r="717" customFormat="1" ht="15.75" customHeight="1" x14ac:dyDescent="0.2"/>
    <row r="718" customFormat="1" ht="15.75" customHeight="1" x14ac:dyDescent="0.2"/>
    <row r="719" customFormat="1" ht="15.75" customHeight="1" x14ac:dyDescent="0.2"/>
    <row r="720" customFormat="1" ht="15.75" customHeight="1" x14ac:dyDescent="0.2"/>
    <row r="721" customFormat="1" ht="15.75" customHeight="1" x14ac:dyDescent="0.2"/>
    <row r="722" customFormat="1" ht="15.75" customHeight="1" x14ac:dyDescent="0.2"/>
    <row r="723" customFormat="1" ht="15.75" customHeight="1" x14ac:dyDescent="0.2"/>
    <row r="724" customFormat="1" ht="15.75" customHeight="1" x14ac:dyDescent="0.2"/>
    <row r="725" customFormat="1" ht="15.75" customHeight="1" x14ac:dyDescent="0.2"/>
    <row r="726" customFormat="1" ht="15.75" customHeight="1" x14ac:dyDescent="0.2"/>
    <row r="727" customFormat="1" ht="15.75" customHeight="1" x14ac:dyDescent="0.2"/>
    <row r="728" customFormat="1" ht="15.75" customHeight="1" x14ac:dyDescent="0.2"/>
    <row r="729" customFormat="1" ht="15.75" customHeight="1" x14ac:dyDescent="0.2"/>
    <row r="730" customFormat="1" ht="15.75" customHeight="1" x14ac:dyDescent="0.2"/>
    <row r="731" customFormat="1" ht="15.75" customHeight="1" x14ac:dyDescent="0.2"/>
    <row r="732" customFormat="1" ht="15.75" customHeight="1" x14ac:dyDescent="0.2"/>
    <row r="733" customFormat="1" ht="15.75" customHeight="1" x14ac:dyDescent="0.2"/>
    <row r="734" customFormat="1" ht="15.75" customHeight="1" x14ac:dyDescent="0.2"/>
    <row r="735" customFormat="1" ht="15.75" customHeight="1" x14ac:dyDescent="0.2"/>
    <row r="736" customFormat="1" ht="15.75" customHeight="1" x14ac:dyDescent="0.2"/>
    <row r="737" customFormat="1" ht="15.75" customHeight="1" x14ac:dyDescent="0.2"/>
    <row r="738" customFormat="1" ht="15.75" customHeight="1" x14ac:dyDescent="0.2"/>
    <row r="739" customFormat="1" ht="15.75" customHeight="1" x14ac:dyDescent="0.2"/>
    <row r="740" customFormat="1" ht="15.75" customHeight="1" x14ac:dyDescent="0.2"/>
    <row r="741" customFormat="1" ht="15.75" customHeight="1" x14ac:dyDescent="0.2"/>
    <row r="742" customFormat="1" ht="15.75" customHeight="1" x14ac:dyDescent="0.2"/>
    <row r="743" customFormat="1" ht="15.75" customHeight="1" x14ac:dyDescent="0.2"/>
    <row r="744" customFormat="1" ht="15.75" customHeight="1" x14ac:dyDescent="0.2"/>
    <row r="745" customFormat="1" ht="15.75" customHeight="1" x14ac:dyDescent="0.2"/>
    <row r="746" customFormat="1" ht="15.75" customHeight="1" x14ac:dyDescent="0.2"/>
    <row r="747" customFormat="1" ht="15.75" customHeight="1" x14ac:dyDescent="0.2"/>
    <row r="748" customFormat="1" ht="15.75" customHeight="1" x14ac:dyDescent="0.2"/>
    <row r="749" customFormat="1" ht="15.75" customHeight="1" x14ac:dyDescent="0.2"/>
    <row r="750" customFormat="1" ht="15.75" customHeight="1" x14ac:dyDescent="0.2"/>
    <row r="751" customFormat="1" ht="15.75" customHeight="1" x14ac:dyDescent="0.2"/>
    <row r="752" customFormat="1" ht="15.75" customHeight="1" x14ac:dyDescent="0.2"/>
    <row r="753" customFormat="1" ht="15.75" customHeight="1" x14ac:dyDescent="0.2"/>
    <row r="754" customFormat="1" ht="15.75" customHeight="1" x14ac:dyDescent="0.2"/>
    <row r="755" customFormat="1" ht="15.75" customHeight="1" x14ac:dyDescent="0.2"/>
    <row r="756" customFormat="1" ht="15.75" customHeight="1" x14ac:dyDescent="0.2"/>
    <row r="757" customFormat="1" ht="15.75" customHeight="1" x14ac:dyDescent="0.2"/>
    <row r="758" customFormat="1" ht="15.75" customHeight="1" x14ac:dyDescent="0.2"/>
    <row r="759" customFormat="1" ht="15.75" customHeight="1" x14ac:dyDescent="0.2"/>
    <row r="760" customFormat="1" ht="15.75" customHeight="1" x14ac:dyDescent="0.2"/>
    <row r="761" customFormat="1" ht="15.75" customHeight="1" x14ac:dyDescent="0.2"/>
    <row r="762" customFormat="1" ht="15.75" customHeight="1" x14ac:dyDescent="0.2"/>
    <row r="763" customFormat="1" ht="15.75" customHeight="1" x14ac:dyDescent="0.2"/>
    <row r="764" customFormat="1" ht="15.75" customHeight="1" x14ac:dyDescent="0.2"/>
    <row r="765" customFormat="1" ht="15.75" customHeight="1" x14ac:dyDescent="0.2"/>
    <row r="766" customFormat="1" ht="15.75" customHeight="1" x14ac:dyDescent="0.2"/>
    <row r="767" customFormat="1" ht="15.75" customHeight="1" x14ac:dyDescent="0.2"/>
    <row r="768" customFormat="1" ht="15.75" customHeight="1" x14ac:dyDescent="0.2"/>
    <row r="769" customFormat="1" ht="15.75" customHeight="1" x14ac:dyDescent="0.2"/>
    <row r="770" customFormat="1" ht="15.75" customHeight="1" x14ac:dyDescent="0.2"/>
    <row r="771" customFormat="1" ht="15.75" customHeight="1" x14ac:dyDescent="0.2"/>
    <row r="772" customFormat="1" ht="15.75" customHeight="1" x14ac:dyDescent="0.2"/>
    <row r="773" customFormat="1" ht="15.75" customHeight="1" x14ac:dyDescent="0.2"/>
    <row r="774" customFormat="1" ht="15.75" customHeight="1" x14ac:dyDescent="0.2"/>
    <row r="775" customFormat="1" ht="15.75" customHeight="1" x14ac:dyDescent="0.2"/>
    <row r="776" customFormat="1" ht="15.75" customHeight="1" x14ac:dyDescent="0.2"/>
    <row r="777" customFormat="1" ht="15.75" customHeight="1" x14ac:dyDescent="0.2"/>
    <row r="778" customFormat="1" ht="15.75" customHeight="1" x14ac:dyDescent="0.2"/>
    <row r="779" customFormat="1" ht="15.75" customHeight="1" x14ac:dyDescent="0.2"/>
    <row r="780" customFormat="1" ht="15.75" customHeight="1" x14ac:dyDescent="0.2"/>
    <row r="781" customFormat="1" ht="15.75" customHeight="1" x14ac:dyDescent="0.2"/>
    <row r="782" customFormat="1" ht="15.75" customHeight="1" x14ac:dyDescent="0.2"/>
    <row r="783" customFormat="1" ht="15.75" customHeight="1" x14ac:dyDescent="0.2"/>
    <row r="784" customFormat="1" ht="15.75" customHeight="1" x14ac:dyDescent="0.2"/>
    <row r="785" customFormat="1" ht="15.75" customHeight="1" x14ac:dyDescent="0.2"/>
    <row r="786" customFormat="1" ht="15.75" customHeight="1" x14ac:dyDescent="0.2"/>
    <row r="787" customFormat="1" ht="15.75" customHeight="1" x14ac:dyDescent="0.2"/>
    <row r="788" customFormat="1" ht="15.75" customHeight="1" x14ac:dyDescent="0.2"/>
    <row r="789" customFormat="1" ht="15.75" customHeight="1" x14ac:dyDescent="0.2"/>
    <row r="790" customFormat="1" ht="15" customHeight="1" x14ac:dyDescent="0.2"/>
    <row r="791" customFormat="1" ht="15" customHeight="1" x14ac:dyDescent="0.2"/>
    <row r="792" customFormat="1" ht="15" customHeight="1" x14ac:dyDescent="0.2"/>
    <row r="793" customFormat="1" ht="15" customHeight="1" x14ac:dyDescent="0.2"/>
    <row r="794" customFormat="1" ht="15" customHeight="1" x14ac:dyDescent="0.2"/>
    <row r="795" customFormat="1" ht="15" customHeight="1" x14ac:dyDescent="0.2"/>
    <row r="796" customFormat="1" ht="15" customHeight="1" x14ac:dyDescent="0.2"/>
    <row r="797" customFormat="1" ht="15" customHeight="1" x14ac:dyDescent="0.2"/>
    <row r="798" customFormat="1" ht="15" customHeight="1" x14ac:dyDescent="0.2"/>
    <row r="799" customFormat="1" ht="15" customHeight="1" x14ac:dyDescent="0.2"/>
    <row r="800" customFormat="1" ht="15" customHeight="1" x14ac:dyDescent="0.2"/>
    <row r="801" customFormat="1" ht="15" customHeight="1" x14ac:dyDescent="0.2"/>
    <row r="802" customFormat="1" ht="15" customHeight="1" x14ac:dyDescent="0.2"/>
    <row r="803" customFormat="1" ht="15" customHeight="1" x14ac:dyDescent="0.2"/>
    <row r="804" customFormat="1" ht="15" customHeight="1" x14ac:dyDescent="0.2"/>
    <row r="805" customFormat="1" ht="15" customHeight="1" x14ac:dyDescent="0.2"/>
    <row r="806" customFormat="1" ht="15" customHeight="1" x14ac:dyDescent="0.2"/>
    <row r="807" customFormat="1" ht="15" customHeight="1" x14ac:dyDescent="0.2"/>
    <row r="808" customFormat="1" ht="15" customHeight="1" x14ac:dyDescent="0.2"/>
    <row r="809" customFormat="1" ht="15" customHeight="1" x14ac:dyDescent="0.2"/>
    <row r="810" customFormat="1" ht="15" customHeight="1" x14ac:dyDescent="0.2"/>
    <row r="811" customFormat="1" ht="15" customHeight="1" x14ac:dyDescent="0.2"/>
    <row r="812" customFormat="1" ht="15" customHeight="1" x14ac:dyDescent="0.2"/>
    <row r="813" customFormat="1" ht="15" customHeight="1" x14ac:dyDescent="0.2"/>
    <row r="814" customFormat="1" ht="15" customHeight="1" x14ac:dyDescent="0.2"/>
    <row r="815" customFormat="1" ht="15" customHeight="1" x14ac:dyDescent="0.2"/>
    <row r="816" customFormat="1" ht="15" customHeight="1" x14ac:dyDescent="0.2"/>
    <row r="817" customFormat="1" ht="15" customHeight="1" x14ac:dyDescent="0.2"/>
    <row r="818" customFormat="1" ht="15" customHeight="1" x14ac:dyDescent="0.2"/>
    <row r="819" customFormat="1" ht="15" customHeight="1" x14ac:dyDescent="0.2"/>
    <row r="820" customFormat="1" ht="15" customHeight="1" x14ac:dyDescent="0.2"/>
    <row r="821" customFormat="1" ht="15" customHeight="1" x14ac:dyDescent="0.2"/>
    <row r="822" customFormat="1" ht="15" customHeight="1" x14ac:dyDescent="0.2"/>
    <row r="823" customFormat="1" ht="15" customHeight="1" x14ac:dyDescent="0.2"/>
    <row r="824" customFormat="1" ht="15" customHeight="1" x14ac:dyDescent="0.2"/>
    <row r="825" customFormat="1" ht="15" customHeight="1" x14ac:dyDescent="0.2"/>
    <row r="826" customFormat="1" ht="15" customHeight="1" x14ac:dyDescent="0.2"/>
    <row r="827" customFormat="1" ht="15" customHeight="1" x14ac:dyDescent="0.2"/>
    <row r="828" customFormat="1" ht="15" customHeight="1" x14ac:dyDescent="0.2"/>
    <row r="829" customFormat="1" ht="15" customHeight="1" x14ac:dyDescent="0.2"/>
    <row r="830" customFormat="1" ht="15" customHeight="1" x14ac:dyDescent="0.2"/>
    <row r="831" customFormat="1" ht="15" customHeight="1" x14ac:dyDescent="0.2"/>
    <row r="832" customFormat="1" ht="15" customHeight="1" x14ac:dyDescent="0.2"/>
    <row r="833" customFormat="1" ht="15" customHeight="1" x14ac:dyDescent="0.2"/>
    <row r="834" customFormat="1" ht="15" customHeight="1" x14ac:dyDescent="0.2"/>
    <row r="835" customFormat="1" ht="15" customHeight="1" x14ac:dyDescent="0.2"/>
    <row r="836" customFormat="1" ht="15" customHeight="1" x14ac:dyDescent="0.2"/>
    <row r="837" customFormat="1" ht="15" customHeight="1" x14ac:dyDescent="0.2"/>
    <row r="838" customFormat="1" ht="15" customHeight="1" x14ac:dyDescent="0.2"/>
    <row r="839" customFormat="1" ht="15" customHeight="1" x14ac:dyDescent="0.2"/>
    <row r="840" customFormat="1" ht="15" customHeight="1" x14ac:dyDescent="0.2"/>
    <row r="841" customFormat="1" ht="15" customHeight="1" x14ac:dyDescent="0.2"/>
    <row r="842" customFormat="1" ht="15" customHeight="1" x14ac:dyDescent="0.2"/>
    <row r="843" customFormat="1" ht="15" customHeight="1" x14ac:dyDescent="0.2"/>
    <row r="844" customFormat="1" ht="15" customHeight="1" x14ac:dyDescent="0.2"/>
    <row r="845" customFormat="1" ht="15" customHeight="1" x14ac:dyDescent="0.2"/>
    <row r="846" customFormat="1" ht="15" customHeight="1" x14ac:dyDescent="0.2"/>
    <row r="847" customFormat="1" ht="15" customHeight="1" x14ac:dyDescent="0.2"/>
    <row r="848" customFormat="1" ht="15" customHeight="1" x14ac:dyDescent="0.2"/>
    <row r="849" customFormat="1" ht="15" customHeight="1" x14ac:dyDescent="0.2"/>
    <row r="850" customFormat="1" ht="15" customHeight="1" x14ac:dyDescent="0.2"/>
    <row r="851" customFormat="1" ht="15" customHeight="1" x14ac:dyDescent="0.2"/>
    <row r="852" customFormat="1" ht="15" customHeight="1" x14ac:dyDescent="0.2"/>
    <row r="853" customFormat="1" ht="15" customHeight="1" x14ac:dyDescent="0.2"/>
    <row r="854" customFormat="1" ht="15" customHeight="1" x14ac:dyDescent="0.2"/>
    <row r="855" customFormat="1" ht="15" customHeight="1" x14ac:dyDescent="0.2"/>
    <row r="856" customFormat="1" ht="15" customHeight="1" x14ac:dyDescent="0.2"/>
    <row r="857" customFormat="1" ht="15" customHeight="1" x14ac:dyDescent="0.2"/>
    <row r="858" customFormat="1" ht="15" customHeight="1" x14ac:dyDescent="0.2"/>
    <row r="859" customFormat="1" ht="15" customHeight="1" x14ac:dyDescent="0.2"/>
    <row r="860" customFormat="1" ht="15" customHeight="1" x14ac:dyDescent="0.2"/>
    <row r="861" customFormat="1" ht="15" customHeight="1" x14ac:dyDescent="0.2"/>
    <row r="862" customFormat="1" ht="15" customHeight="1" x14ac:dyDescent="0.2"/>
    <row r="863" customFormat="1" ht="15" customHeight="1" x14ac:dyDescent="0.2"/>
    <row r="864" customFormat="1" ht="15" customHeight="1" x14ac:dyDescent="0.2"/>
    <row r="865" customFormat="1" ht="15" customHeight="1" x14ac:dyDescent="0.2"/>
    <row r="866" customFormat="1" ht="15" customHeight="1" x14ac:dyDescent="0.2"/>
    <row r="867" customFormat="1" ht="15" customHeight="1" x14ac:dyDescent="0.2"/>
    <row r="868" customFormat="1" ht="15" customHeight="1" x14ac:dyDescent="0.2"/>
    <row r="869" customFormat="1" ht="15" customHeight="1" x14ac:dyDescent="0.2"/>
    <row r="870" customFormat="1" ht="15" customHeight="1" x14ac:dyDescent="0.2"/>
    <row r="871" customFormat="1" ht="15" customHeight="1" x14ac:dyDescent="0.2"/>
    <row r="872" customFormat="1" ht="15" customHeight="1" x14ac:dyDescent="0.2"/>
    <row r="873" customFormat="1" ht="15" customHeight="1" x14ac:dyDescent="0.2"/>
    <row r="874" customFormat="1" ht="15" customHeight="1" x14ac:dyDescent="0.2"/>
    <row r="875" customFormat="1" ht="15" customHeight="1" x14ac:dyDescent="0.2"/>
    <row r="876" customFormat="1" ht="15" customHeight="1" x14ac:dyDescent="0.2"/>
    <row r="877" customFormat="1" ht="15" customHeight="1" x14ac:dyDescent="0.2"/>
    <row r="878" customFormat="1" ht="15" customHeight="1" x14ac:dyDescent="0.2"/>
    <row r="879" customFormat="1" ht="15" customHeight="1" x14ac:dyDescent="0.2"/>
    <row r="880" customFormat="1" ht="15" customHeight="1" x14ac:dyDescent="0.2"/>
    <row r="881" customFormat="1" ht="15" customHeight="1" x14ac:dyDescent="0.2"/>
    <row r="882" customFormat="1" ht="15" customHeight="1" x14ac:dyDescent="0.2"/>
    <row r="883" customFormat="1" ht="15" customHeight="1" x14ac:dyDescent="0.2"/>
    <row r="884" customFormat="1" ht="15" customHeight="1" x14ac:dyDescent="0.2"/>
    <row r="885" customFormat="1" ht="15" customHeight="1" x14ac:dyDescent="0.2"/>
    <row r="886" customFormat="1" ht="15" customHeight="1" x14ac:dyDescent="0.2"/>
    <row r="887" customFormat="1" ht="15" customHeight="1" x14ac:dyDescent="0.2"/>
    <row r="888" customFormat="1" ht="15" customHeight="1" x14ac:dyDescent="0.2"/>
    <row r="889" customFormat="1" ht="15" customHeight="1" x14ac:dyDescent="0.2"/>
    <row r="890" customFormat="1" ht="15" customHeight="1" x14ac:dyDescent="0.2"/>
    <row r="891" customFormat="1" ht="15" customHeight="1" x14ac:dyDescent="0.2"/>
    <row r="892" customFormat="1" ht="15" customHeight="1" x14ac:dyDescent="0.2"/>
    <row r="893" customFormat="1" ht="15" customHeight="1" x14ac:dyDescent="0.2"/>
    <row r="894" customFormat="1" ht="15" customHeight="1" x14ac:dyDescent="0.2"/>
    <row r="895" customFormat="1" ht="15" customHeight="1" x14ac:dyDescent="0.2"/>
    <row r="896" customFormat="1" ht="15" customHeight="1" x14ac:dyDescent="0.2"/>
    <row r="897" customFormat="1" ht="15" customHeight="1" x14ac:dyDescent="0.2"/>
    <row r="898" customFormat="1" ht="15" customHeight="1" x14ac:dyDescent="0.2"/>
    <row r="899" customFormat="1" ht="15" customHeight="1" x14ac:dyDescent="0.2"/>
    <row r="900" customFormat="1" ht="15" customHeight="1" x14ac:dyDescent="0.2"/>
    <row r="901" customFormat="1" ht="15" customHeight="1" x14ac:dyDescent="0.2"/>
    <row r="902" customFormat="1" ht="15" customHeight="1" x14ac:dyDescent="0.2"/>
    <row r="903" customFormat="1" ht="15" customHeight="1" x14ac:dyDescent="0.2"/>
    <row r="904" customFormat="1" ht="15" customHeight="1" x14ac:dyDescent="0.2"/>
    <row r="905" customFormat="1" ht="15" customHeight="1" x14ac:dyDescent="0.2"/>
    <row r="906" customFormat="1" ht="15" customHeight="1" x14ac:dyDescent="0.2"/>
    <row r="907" customFormat="1" ht="15" customHeight="1" x14ac:dyDescent="0.2"/>
    <row r="908" customFormat="1" ht="15" customHeight="1" x14ac:dyDescent="0.2"/>
    <row r="909" customFormat="1" ht="15" customHeight="1" x14ac:dyDescent="0.2"/>
    <row r="910" customFormat="1" ht="15" customHeight="1" x14ac:dyDescent="0.2"/>
    <row r="911" customFormat="1" ht="15" customHeight="1" x14ac:dyDescent="0.2"/>
    <row r="912" customFormat="1" ht="15" customHeight="1" x14ac:dyDescent="0.2"/>
    <row r="913" customFormat="1" ht="15" customHeight="1" x14ac:dyDescent="0.2"/>
    <row r="914" customFormat="1" ht="15" customHeight="1" x14ac:dyDescent="0.2"/>
    <row r="915" customFormat="1" ht="15" customHeight="1" x14ac:dyDescent="0.2"/>
    <row r="916" customFormat="1" ht="15" customHeight="1" x14ac:dyDescent="0.2"/>
    <row r="917" customFormat="1" ht="15" customHeight="1" x14ac:dyDescent="0.2"/>
    <row r="918" customFormat="1" ht="15" customHeight="1" x14ac:dyDescent="0.2"/>
    <row r="919" customFormat="1" ht="15" customHeight="1" x14ac:dyDescent="0.2"/>
    <row r="920" customFormat="1" ht="15" customHeight="1" x14ac:dyDescent="0.2"/>
    <row r="921" customFormat="1" ht="15" customHeight="1" x14ac:dyDescent="0.2"/>
    <row r="922" customFormat="1" ht="15" customHeight="1" x14ac:dyDescent="0.2"/>
    <row r="923" customFormat="1" ht="15" customHeight="1" x14ac:dyDescent="0.2"/>
    <row r="924" customFormat="1" ht="15" customHeight="1" x14ac:dyDescent="0.2"/>
    <row r="925" customFormat="1" ht="15" customHeight="1" x14ac:dyDescent="0.2"/>
    <row r="926" customFormat="1" ht="15" customHeight="1" x14ac:dyDescent="0.2"/>
    <row r="927" customFormat="1" ht="15" customHeight="1" x14ac:dyDescent="0.2"/>
    <row r="928" customFormat="1" ht="15" customHeight="1" x14ac:dyDescent="0.2"/>
    <row r="929" customFormat="1" ht="15" customHeight="1" x14ac:dyDescent="0.2"/>
    <row r="930" customFormat="1" ht="15" customHeight="1" x14ac:dyDescent="0.2"/>
    <row r="931" customFormat="1" ht="15" customHeight="1" x14ac:dyDescent="0.2"/>
    <row r="932" customFormat="1" ht="15" customHeight="1" x14ac:dyDescent="0.2"/>
    <row r="933" customFormat="1" ht="15" customHeight="1" x14ac:dyDescent="0.2"/>
    <row r="934" customFormat="1" ht="15" customHeight="1" x14ac:dyDescent="0.2"/>
    <row r="935" customFormat="1" ht="15" customHeight="1" x14ac:dyDescent="0.2"/>
    <row r="936" customFormat="1" ht="15" customHeight="1" x14ac:dyDescent="0.2"/>
    <row r="937" customFormat="1" ht="15" customHeight="1" x14ac:dyDescent="0.2"/>
    <row r="938" customFormat="1" ht="15" customHeight="1" x14ac:dyDescent="0.2"/>
    <row r="939" customFormat="1" ht="15" customHeight="1" x14ac:dyDescent="0.2"/>
    <row r="940" customFormat="1" ht="15" customHeight="1" x14ac:dyDescent="0.2"/>
    <row r="941" customFormat="1" ht="15" customHeight="1" x14ac:dyDescent="0.2"/>
    <row r="942" customFormat="1" ht="15" customHeight="1" x14ac:dyDescent="0.2"/>
    <row r="943" customFormat="1" ht="15" customHeight="1" x14ac:dyDescent="0.2"/>
    <row r="944" customFormat="1" ht="15" customHeight="1" x14ac:dyDescent="0.2"/>
    <row r="945" customFormat="1" ht="15" customHeight="1" x14ac:dyDescent="0.2"/>
    <row r="946" customFormat="1" ht="15" customHeight="1" x14ac:dyDescent="0.2"/>
    <row r="947" customFormat="1" ht="15" customHeight="1" x14ac:dyDescent="0.2"/>
    <row r="948" customFormat="1" ht="15" customHeight="1" x14ac:dyDescent="0.2"/>
    <row r="949" customFormat="1" ht="15" customHeight="1" x14ac:dyDescent="0.2"/>
    <row r="950" customFormat="1" ht="15" customHeight="1" x14ac:dyDescent="0.2"/>
    <row r="951" customFormat="1" ht="15" customHeight="1" x14ac:dyDescent="0.2"/>
    <row r="952" customFormat="1" ht="15" customHeight="1" x14ac:dyDescent="0.2"/>
    <row r="953" customFormat="1" ht="15" customHeight="1" x14ac:dyDescent="0.2"/>
    <row r="954" customFormat="1" ht="15" customHeight="1" x14ac:dyDescent="0.2"/>
    <row r="955" customFormat="1" ht="15" customHeight="1" x14ac:dyDescent="0.2"/>
    <row r="956" customFormat="1" ht="15" customHeight="1" x14ac:dyDescent="0.2"/>
    <row r="957" customFormat="1" ht="15" customHeight="1" x14ac:dyDescent="0.2"/>
    <row r="958" customFormat="1" ht="15" customHeight="1" x14ac:dyDescent="0.2"/>
    <row r="959" customFormat="1" ht="15" customHeight="1" x14ac:dyDescent="0.2"/>
    <row r="960" customFormat="1" ht="15" customHeight="1" x14ac:dyDescent="0.2"/>
    <row r="961" customFormat="1" ht="15" customHeight="1" x14ac:dyDescent="0.2"/>
    <row r="962" customFormat="1" ht="15" customHeight="1" x14ac:dyDescent="0.2"/>
    <row r="963" customFormat="1" ht="15" customHeight="1" x14ac:dyDescent="0.2"/>
    <row r="964" customFormat="1" ht="15" customHeight="1" x14ac:dyDescent="0.2"/>
    <row r="965" customFormat="1" ht="15" customHeight="1" x14ac:dyDescent="0.2"/>
    <row r="966" customFormat="1" ht="15" customHeight="1" x14ac:dyDescent="0.2"/>
    <row r="967" customFormat="1" ht="15" customHeight="1" x14ac:dyDescent="0.2"/>
    <row r="968" customFormat="1" ht="15" customHeight="1" x14ac:dyDescent="0.2"/>
    <row r="969" customFormat="1" ht="15" customHeight="1" x14ac:dyDescent="0.2"/>
    <row r="970" customFormat="1" ht="15" customHeight="1" x14ac:dyDescent="0.2"/>
    <row r="971" customFormat="1" ht="15" customHeight="1" x14ac:dyDescent="0.2"/>
    <row r="972" customFormat="1" ht="15" customHeight="1" x14ac:dyDescent="0.2"/>
    <row r="973" customFormat="1" ht="15" customHeight="1" x14ac:dyDescent="0.2"/>
    <row r="974" customFormat="1" ht="15" customHeight="1" x14ac:dyDescent="0.2"/>
    <row r="975" customFormat="1" ht="15" customHeight="1" x14ac:dyDescent="0.2"/>
    <row r="976" customFormat="1" ht="15" customHeight="1" x14ac:dyDescent="0.2"/>
    <row r="977" customFormat="1" ht="15" customHeight="1" x14ac:dyDescent="0.2"/>
    <row r="978" customFormat="1" ht="15" customHeight="1" x14ac:dyDescent="0.2"/>
    <row r="979" customFormat="1" ht="15" customHeight="1" x14ac:dyDescent="0.2"/>
    <row r="980" customFormat="1" ht="15" customHeight="1" x14ac:dyDescent="0.2"/>
    <row r="981" customFormat="1" ht="15" customHeight="1" x14ac:dyDescent="0.2"/>
    <row r="982" customFormat="1" ht="15" customHeight="1" x14ac:dyDescent="0.2"/>
    <row r="983" customFormat="1" ht="15" customHeight="1" x14ac:dyDescent="0.2"/>
    <row r="984" customFormat="1" ht="15" customHeight="1" x14ac:dyDescent="0.2"/>
    <row r="985" customFormat="1" ht="15" customHeight="1" x14ac:dyDescent="0.2"/>
    <row r="986" customFormat="1" ht="15" customHeight="1" x14ac:dyDescent="0.2"/>
    <row r="987" customFormat="1" ht="15" customHeight="1" x14ac:dyDescent="0.2"/>
    <row r="988" customFormat="1" ht="15" customHeight="1" x14ac:dyDescent="0.2"/>
    <row r="989" customFormat="1" ht="15" customHeight="1" x14ac:dyDescent="0.2"/>
    <row r="990" customFormat="1" ht="15" customHeight="1" x14ac:dyDescent="0.2"/>
    <row r="991" customFormat="1" ht="15" customHeight="1" x14ac:dyDescent="0.2"/>
    <row r="992" customFormat="1" ht="15" customHeight="1" x14ac:dyDescent="0.2"/>
    <row r="993" customFormat="1" ht="15" customHeight="1" x14ac:dyDescent="0.2"/>
    <row r="994" customFormat="1" ht="15" customHeight="1" x14ac:dyDescent="0.2"/>
    <row r="995" customFormat="1" ht="15" customHeight="1" x14ac:dyDescent="0.2"/>
    <row r="996" customFormat="1" ht="15" customHeight="1" x14ac:dyDescent="0.2"/>
    <row r="997" customFormat="1" ht="15" customHeight="1" x14ac:dyDescent="0.2"/>
    <row r="998" customFormat="1" ht="15" customHeight="1" x14ac:dyDescent="0.2"/>
    <row r="999" customFormat="1" ht="15" customHeight="1" x14ac:dyDescent="0.2"/>
    <row r="1000" customFormat="1" ht="15" customHeight="1" x14ac:dyDescent="0.2"/>
    <row r="1001" customFormat="1" ht="15" customHeight="1" x14ac:dyDescent="0.2"/>
    <row r="1002" customFormat="1" ht="15" customHeight="1" x14ac:dyDescent="0.2"/>
    <row r="1003" customFormat="1" ht="15" customHeight="1" x14ac:dyDescent="0.2"/>
    <row r="1004" customFormat="1" ht="15" customHeight="1" x14ac:dyDescent="0.2"/>
    <row r="1005" customFormat="1" ht="15" customHeight="1" x14ac:dyDescent="0.2"/>
    <row r="1006" customFormat="1" ht="15" customHeight="1" x14ac:dyDescent="0.2"/>
    <row r="1007" customFormat="1" ht="15" customHeight="1" x14ac:dyDescent="0.2"/>
    <row r="1008" customFormat="1" ht="15" customHeight="1" x14ac:dyDescent="0.2"/>
    <row r="1009" customFormat="1" ht="15" customHeight="1" x14ac:dyDescent="0.2"/>
    <row r="1010" customFormat="1" ht="15" customHeight="1" x14ac:dyDescent="0.2"/>
    <row r="1011" customFormat="1" ht="15" customHeight="1" x14ac:dyDescent="0.2"/>
    <row r="1012" customFormat="1" ht="15" customHeight="1" x14ac:dyDescent="0.2"/>
  </sheetData>
  <mergeCells count="14">
    <mergeCell ref="H8:H9"/>
    <mergeCell ref="I8:I9"/>
    <mergeCell ref="J8:J9"/>
    <mergeCell ref="B6:D6"/>
    <mergeCell ref="B7:D7"/>
    <mergeCell ref="U8:U9"/>
    <mergeCell ref="V8:V9"/>
    <mergeCell ref="W8:W9"/>
    <mergeCell ref="X8:X9"/>
    <mergeCell ref="K8:M8"/>
    <mergeCell ref="N8:O8"/>
    <mergeCell ref="P8:P9"/>
    <mergeCell ref="Q8:R8"/>
    <mergeCell ref="S8:T8"/>
  </mergeCells>
  <pageMargins left="0.511811024" right="0.511811024" top="0.78740157499999996" bottom="0.78740157499999996" header="0.31496062000000002" footer="0.31496062000000002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EEB93-1A83-C14F-9F8F-4562EF537FA1}">
  <dimension ref="B2:R1014"/>
  <sheetViews>
    <sheetView topLeftCell="B2" workbookViewId="0">
      <selection activeCell="J17" sqref="J17"/>
    </sheetView>
  </sheetViews>
  <sheetFormatPr baseColWidth="10" defaultColWidth="12.6640625" defaultRowHeight="16" x14ac:dyDescent="0.2"/>
  <cols>
    <col min="1" max="1" width="7.6640625" customWidth="1"/>
    <col min="2" max="2" width="64.5" customWidth="1"/>
    <col min="3" max="3" width="19.33203125" customWidth="1"/>
    <col min="4" max="5" width="7.6640625" customWidth="1"/>
    <col min="9" max="9" width="34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bestFit="1" customWidth="1"/>
    <col min="15" max="15" width="16" bestFit="1" customWidth="1"/>
    <col min="16" max="16" width="16" customWidth="1"/>
    <col min="17" max="17" width="16" customWidth="1"/>
  </cols>
  <sheetData>
    <row r="1" ht="16" customHeight="1"/>
    <row r="2" spans="2:17" ht="15" customHeight="1" x14ac:dyDescent="0.2">
      <c r="I2" t="inlineStr">
        <is>
          <t xml:space="preserve">Exercício 2 · Vinícola Vale dos Vinhedos Ltda. · Custeio por absorção integral e ideal</t>
        </is>
      </c>
    </row>
    <row r="3" spans="2:17" hidden="1" x14ac:dyDescent="0.2" ht="16" customHeight="1"/>
    <row r="4" spans="2:17" ht="46" customHeight="1" x14ac:dyDescent="0.2">
      <c r="B4" s="150"/>
      <c r="C4" s="151"/>
      <c r="D4" s="151"/>
    </row>
    <row r="5" spans="2:17" x14ac:dyDescent="0.2" ht="16" customHeight="1">
      <c r="B5" s="152"/>
      <c r="C5" s="153"/>
      <c r="D5" s="153"/>
      <c r="E5" s="76"/>
      <c r="F5" s="76"/>
      <c r="G5" s="76"/>
      <c r="H5" s="76"/>
    </row>
    <row r="6" spans="2:17" ht="19" x14ac:dyDescent="0.25">
      <c r="B6" s="143" t="s">
        <v>19</v>
      </c>
      <c r="C6" s="37" t="s">
        <v>20</v>
      </c>
      <c r="D6" s="144" t="s">
        <v>14</v>
      </c>
      <c r="E6" s="76"/>
      <c r="F6" s="76"/>
      <c r="G6" s="76"/>
      <c r="H6" s="76"/>
      <c r="I6" s="149"/>
      <c r="J6" s="149"/>
      <c r="K6" s="149"/>
      <c r="L6" s="149"/>
      <c r="M6" s="149"/>
      <c r="N6" s="149"/>
      <c r="O6" s="149"/>
      <c r="P6" s="149"/>
      <c r="Q6" s="149"/>
    </row>
    <row r="7" spans="2:17" ht="20" thickBot="1" x14ac:dyDescent="0.3">
      <c r="B7" s="105"/>
      <c r="C7" s="76"/>
      <c r="D7" s="76"/>
      <c r="E7" s="76"/>
      <c r="F7" s="76"/>
      <c r="G7" s="76"/>
      <c r="H7" s="76"/>
      <c r="I7" s="63" t="s">
        <v>23</v>
      </c>
      <c r="J7" s="145" t="s">
        <v>26</v>
      </c>
      <c r="K7" s="64" t="s">
        <v>11</v>
      </c>
      <c r="L7" s="64" t="s">
        <v>3</v>
      </c>
      <c r="M7" s="64" t="s">
        <v>2</v>
      </c>
      <c r="N7" s="64" t="s">
        <v>24</v>
      </c>
      <c r="O7" s="64" t="s">
        <v>8</v>
      </c>
      <c r="P7" s="64" t="s">
        <v>9</v>
      </c>
      <c r="Q7" s="65" t="s">
        <v>25</v>
      </c>
    </row>
    <row r="8" spans="2:17" ht="18" thickTop="1" thickBot="1" x14ac:dyDescent="0.25">
      <c r="B8" s="126" t="s">
        <v>21</v>
      </c>
      <c r="C8" s="177">
        <v>3960000</v>
      </c>
      <c r="D8" s="201">
        <f>C8/$C$8</f>
        <v>1.0</v>
      </c>
      <c r="E8" s="76"/>
      <c r="F8" s="76"/>
      <c r="G8" s="76"/>
      <c r="H8" s="76"/>
      <c r="I8" s="106" t="inlineStr">
        <is>
          <t xml:space="preserve">A · Espumante brut (garrafa)</t>
        </is>
      </c>
      <c r="J8" s="206">
        <v>36000</v>
      </c>
      <c r="K8" s="207">
        <v>14</v>
      </c>
      <c r="L8" s="208">
        <f>$C$10/$C$8</f>
        <v>0.3</v>
      </c>
      <c r="M8" s="208">
        <f>($C$18-$C$19)/$C$8</f>
        <v>0.08</v>
      </c>
      <c r="N8" s="207">
        <f>$C$33/SUM($J$8:$J$12)</f>
        <v>7.57377049180328</v>
      </c>
      <c r="O8" s="207">
        <f>(K8+N8)/(1-(L8+M8))</f>
        <v>34.7964040190376</v>
      </c>
      <c r="P8" s="208">
        <v>0.18</v>
      </c>
      <c r="Q8" s="209">
        <f>(K8+N8)/(1-(L8+M8+P8))</f>
        <v>49.0312965722802</v>
      </c>
    </row>
    <row r="9" spans="2:17" ht="17" thickBot="1" x14ac:dyDescent="0.25">
      <c r="B9" s="77"/>
      <c r="C9" s="78"/>
      <c r="D9" s="79"/>
      <c r="E9" s="76"/>
      <c r="F9" s="76"/>
      <c r="G9" s="76"/>
      <c r="H9" s="76"/>
      <c r="I9" s="106" t="inlineStr">
        <is>
          <t xml:space="preserve">B · Vinho tinto reserva (garrafa)</t>
        </is>
      </c>
      <c r="J9" s="206">
        <v>24000</v>
      </c>
      <c r="K9" s="207">
        <v>19.5</v>
      </c>
      <c r="L9" s="208">
        <f>$C$10/$C$8</f>
        <v>0.3</v>
      </c>
      <c r="M9" s="208">
        <f>($C$18-$C$19)/$C$8</f>
        <v>0.08</v>
      </c>
      <c r="N9" s="207">
        <f>$C$33/SUM($J$8:$J$12)</f>
        <v>7.57377049180328</v>
      </c>
      <c r="O9" s="207">
        <f>(K9+N9)/(1-(L9+M9))</f>
        <v>43.667371760973</v>
      </c>
      <c r="P9" s="208">
        <v>0.2</v>
      </c>
      <c r="Q9" s="209">
        <f>(K9+N9)/(1-(L9+M9+P9))</f>
        <v>64.4613583138173</v>
      </c>
    </row>
    <row r="10" spans="2:17" ht="17" thickBot="1" x14ac:dyDescent="0.25">
      <c r="B10" s="126" t="s">
        <v>22</v>
      </c>
      <c r="C10" s="177">
        <f>SUM(C11:C17)</f>
        <v>1188000.0</v>
      </c>
      <c r="D10" s="202">
        <f>C10/$C$8</f>
        <v>0.3</v>
      </c>
      <c r="E10" s="76"/>
      <c r="F10" s="76"/>
      <c r="G10" s="76"/>
      <c r="H10" s="76"/>
      <c r="I10" s="106" t="inlineStr">
        <is>
          <t xml:space="preserve">C · Suco de uva integral 1 L</t>
        </is>
      </c>
      <c r="J10" s="206">
        <v>62000</v>
      </c>
      <c r="K10" s="207">
        <v>5.2</v>
      </c>
      <c r="L10" s="208">
        <f>$C$10/$C$8</f>
        <v>0.3</v>
      </c>
      <c r="M10" s="208">
        <f>($C$18-$C$19)/$C$8</f>
        <v>0.08</v>
      </c>
      <c r="N10" s="207">
        <f>$C$33/SUM($J$8:$J$12)</f>
        <v>7.57377049180328</v>
      </c>
      <c r="O10" s="207">
        <f>(K10+N10)/(1-(L10+M10))</f>
        <v>20.6028556319408</v>
      </c>
      <c r="P10" s="208">
        <v>0.1</v>
      </c>
      <c r="Q10" s="209">
        <f>(K10+N10)/(1-(L10+M10+P10))</f>
        <v>24.5649432534678</v>
      </c>
    </row>
    <row r="11" spans="2:17" x14ac:dyDescent="0.2" ht="16" customHeight="1">
      <c r="B11" s="128" t="inlineStr">
        <is>
          <t xml:space="preserve">Comissão sobre vendas</t>
        </is>
      </c>
      <c r="C11" s="180">
        <v>158400</v>
      </c>
      <c r="D11" s="204">
        <f>C11/$C$8</f>
        <v>0.04</v>
      </c>
      <c r="E11" s="76"/>
      <c r="F11" s="76"/>
      <c r="G11" s="76"/>
      <c r="H11" s="76"/>
      <c r="I11" s="110"/>
      <c r="J11" s="147"/>
      <c r="K11" s="111"/>
      <c r="L11" s="112"/>
      <c r="M11" s="112"/>
      <c r="N11" s="111"/>
      <c r="O11" s="111"/>
      <c r="P11" s="112"/>
      <c r="Q11" s="113"/>
    </row>
    <row r="12" spans="2:17" ht="17" thickBot="1" x14ac:dyDescent="0.25">
      <c r="B12" s="128" t="inlineStr">
        <is>
          <t xml:space="preserve">Despesas com publicidade proporcional às vendas</t>
        </is>
      </c>
      <c r="C12" s="180">
        <v>39600</v>
      </c>
      <c r="D12" s="204">
        <f>C12/$C$8</f>
        <v>0.01</v>
      </c>
      <c r="E12" s="76"/>
      <c r="F12" s="76"/>
      <c r="G12" s="76"/>
      <c r="H12" s="76"/>
      <c r="I12" s="114"/>
      <c r="J12" s="148"/>
      <c r="K12" s="115"/>
      <c r="L12" s="116"/>
      <c r="M12" s="116"/>
      <c r="N12" s="115"/>
      <c r="O12" s="115"/>
      <c r="P12" s="116"/>
      <c r="Q12" s="117"/>
    </row>
    <row r="13" spans="2:17" x14ac:dyDescent="0.2" ht="16" customHeight="1">
      <c r="B13" s="128" t="inlineStr">
        <is>
          <t xml:space="preserve">Frete de entrega</t>
        </is>
      </c>
      <c r="C13" s="180">
        <v>118800</v>
      </c>
      <c r="D13" s="204">
        <f>C13/$C$8</f>
        <v>0.03</v>
      </c>
      <c r="E13" s="76"/>
      <c r="F13" s="76"/>
      <c r="G13" s="76"/>
      <c r="H13" s="76"/>
      <c r="I13" s="76" t="inlineStr">
        <is>
          <t xml:space="preserve">Integral: QUANT. = produção do mês; CF unit = CF ÷ Σ produzido</t>
        </is>
      </c>
      <c r="J13" s="76"/>
      <c r="K13" s="76"/>
      <c r="L13" s="76"/>
      <c r="M13" s="76"/>
      <c r="N13" s="76"/>
      <c r="O13" s="76"/>
      <c r="P13" s="76"/>
      <c r="Q13" s="76"/>
    </row>
    <row r="14" spans="2:17" x14ac:dyDescent="0.2" ht="16" customHeight="1">
      <c r="B14" s="128" t="inlineStr">
        <is>
          <t xml:space="preserve">Impostos sobre as vendas</t>
        </is>
      </c>
      <c r="C14" s="180">
        <v>871200</v>
      </c>
      <c r="D14" s="204">
        <f>C14/$C$8</f>
        <v>0.22</v>
      </c>
      <c r="E14" s="76"/>
      <c r="F14" s="76"/>
      <c r="G14" s="76"/>
      <c r="H14" s="76"/>
    </row>
    <row r="15" spans="2:17" x14ac:dyDescent="0.2" ht="16" customHeight="1">
      <c r="B15" s="128"/>
      <c r="C15" s="82"/>
      <c r="D15" s="129"/>
      <c r="E15" s="76"/>
      <c r="F15" s="76"/>
      <c r="G15" s="76"/>
      <c r="H15" s="76"/>
    </row>
    <row r="16" spans="2:17" ht="19" x14ac:dyDescent="0.25">
      <c r="B16" s="130"/>
      <c r="C16" s="85"/>
      <c r="D16" s="129"/>
      <c r="E16" s="76"/>
      <c r="F16" s="76"/>
      <c r="G16" s="76"/>
      <c r="H16" s="76"/>
      <c r="I16" s="104"/>
      <c r="J16" s="104"/>
      <c r="K16" s="104"/>
      <c r="L16" s="104"/>
      <c r="M16" s="104"/>
      <c r="N16" s="104"/>
      <c r="O16" s="104"/>
      <c r="P16" s="104"/>
      <c r="Q16" s="104"/>
    </row>
    <row r="17" spans="2:18" ht="20" thickBot="1" x14ac:dyDescent="0.3">
      <c r="B17" s="130"/>
      <c r="C17" s="85"/>
      <c r="D17" s="129"/>
      <c r="E17" s="76"/>
      <c r="F17" s="76"/>
      <c r="G17" s="76"/>
      <c r="H17" s="76"/>
      <c r="I17" s="63" t="s">
        <v>23</v>
      </c>
      <c r="J17" s="145" t="s">
        <v>26</v>
      </c>
      <c r="K17" s="64" t="s">
        <v>11</v>
      </c>
      <c r="L17" s="64" t="s">
        <v>3</v>
      </c>
      <c r="M17" s="64" t="s">
        <v>2</v>
      </c>
      <c r="N17" s="64" t="s">
        <v>24</v>
      </c>
      <c r="O17" s="64" t="s">
        <v>8</v>
      </c>
      <c r="P17" s="64" t="s">
        <v>9</v>
      </c>
      <c r="Q17" s="65" t="s">
        <v>25</v>
      </c>
    </row>
    <row r="18" spans="2:18" ht="18" thickTop="1" thickBot="1" x14ac:dyDescent="0.25">
      <c r="B18" s="131"/>
      <c r="C18" s="177">
        <f>SUM(C19:C28)</f>
        <v>1399800.0</v>
      </c>
      <c r="D18" s="202">
        <f>C18/$C$8</f>
        <v>0.353484848484848</v>
      </c>
      <c r="E18" s="76"/>
      <c r="F18" s="76"/>
      <c r="G18" s="76"/>
      <c r="H18" s="76"/>
      <c r="I18" s="106" t="inlineStr">
        <is>
          <t xml:space="preserve">A · Espumante brut (garrafa)</t>
        </is>
      </c>
      <c r="J18" s="206">
        <v>30000</v>
      </c>
      <c r="K18" s="207">
        <v>14</v>
      </c>
      <c r="L18" s="208">
        <f>$C$10/$C$8</f>
        <v>0.3</v>
      </c>
      <c r="M18" s="208">
        <f>($C$18-$C$19)/$C$8</f>
        <v>0.08</v>
      </c>
      <c r="N18" s="207">
        <f>$C$33/SUM($J$18:$J$23)</f>
        <v>8.55555555555556</v>
      </c>
      <c r="O18" s="207">
        <f>(K18+N18)/(1-(L18+M18))</f>
        <v>36.3799283154122</v>
      </c>
      <c r="P18" s="208">
        <v>0.18</v>
      </c>
      <c r="Q18" s="209">
        <f>(K18+N18)/(1-(L18+M18+P18))</f>
        <v>51.2626262626263</v>
      </c>
      <c r="R18" s="76"/>
    </row>
    <row r="19" spans="2:18" x14ac:dyDescent="0.2" ht="16" customHeight="1">
      <c r="B19" s="128" t="inlineStr">
        <is>
          <t xml:space="preserve">Matéria-prima (uva, garrafas, rolhas, rótulos)</t>
        </is>
      </c>
      <c r="C19" s="180">
        <v>1083000</v>
      </c>
      <c r="D19" s="204">
        <f>C19/$C$8</f>
        <v>0.273484848484849</v>
      </c>
      <c r="E19" s="76"/>
      <c r="F19" s="76"/>
      <c r="G19" s="76"/>
      <c r="H19" s="76"/>
      <c r="I19" s="106" t="inlineStr">
        <is>
          <t xml:space="preserve">B · Vinho tinto reserva (garrafa)</t>
        </is>
      </c>
      <c r="J19" s="206">
        <v>18000</v>
      </c>
      <c r="K19" s="207">
        <v>19.5</v>
      </c>
      <c r="L19" s="208">
        <f>$C$10/$C$8</f>
        <v>0.3</v>
      </c>
      <c r="M19" s="208">
        <f>($C$18-$C$19)/$C$8</f>
        <v>0.08</v>
      </c>
      <c r="N19" s="207">
        <f>$C$33/SUM($J$18:$J$23)</f>
        <v>8.55555555555556</v>
      </c>
      <c r="O19" s="207">
        <f>(K19+N19)/(1-(L19+M19))</f>
        <v>45.2508960573477</v>
      </c>
      <c r="P19" s="208">
        <v>0.2</v>
      </c>
      <c r="Q19" s="209">
        <f>(K19+N19)/(1-(L19+M19+P19))</f>
        <v>66.7989417989418</v>
      </c>
      <c r="R19" s="76"/>
    </row>
    <row r="20" spans="2:18" x14ac:dyDescent="0.2" ht="16" customHeight="1">
      <c r="B20" s="128" t="inlineStr">
        <is>
          <t xml:space="preserve">Energia elétrica e refrigeração da cantina</t>
        </is>
      </c>
      <c r="C20" s="180">
        <v>118800</v>
      </c>
      <c r="D20" s="204">
        <f>C20/$C$8</f>
        <v>0.03</v>
      </c>
      <c r="E20" s="76"/>
      <c r="F20" s="76"/>
      <c r="G20" s="76"/>
      <c r="H20" s="76"/>
      <c r="I20" s="106" t="inlineStr">
        <is>
          <t xml:space="preserve">C · Suco de uva integral 1 L</t>
        </is>
      </c>
      <c r="J20" s="206">
        <v>60000</v>
      </c>
      <c r="K20" s="207">
        <v>5.2</v>
      </c>
      <c r="L20" s="208">
        <f>$C$10/$C$8</f>
        <v>0.3</v>
      </c>
      <c r="M20" s="208">
        <f>($C$18-$C$19)/$C$8</f>
        <v>0.08</v>
      </c>
      <c r="N20" s="207">
        <f>$C$33/SUM($J$18:$J$23)</f>
        <v>8.55555555555556</v>
      </c>
      <c r="O20" s="207">
        <f>(K20+N20)/(1-(L20+M20))</f>
        <v>22.1863799283154</v>
      </c>
      <c r="P20" s="208">
        <v>0.1</v>
      </c>
      <c r="Q20" s="209">
        <f>(K20+N20)/(1-(L20+M20+P20))</f>
        <v>26.4529914529915</v>
      </c>
      <c r="R20" s="76"/>
    </row>
    <row r="21" spans="2:18" x14ac:dyDescent="0.2" ht="16" customHeight="1">
      <c r="B21" s="128" t="inlineStr">
        <is>
          <t xml:space="preserve">Fretes sobre compras de uva</t>
        </is>
      </c>
      <c r="C21" s="181">
        <v>79200</v>
      </c>
      <c r="D21" s="204">
        <f>C21/$C$8</f>
        <v>0.02</v>
      </c>
      <c r="E21" s="76"/>
      <c r="F21" s="76"/>
      <c r="G21" s="76"/>
      <c r="H21" s="76"/>
      <c r="I21" s="110"/>
      <c r="J21" s="147"/>
      <c r="K21" s="111"/>
      <c r="L21" s="112"/>
      <c r="M21" s="112"/>
      <c r="N21" s="111"/>
      <c r="O21" s="111"/>
      <c r="P21" s="112"/>
      <c r="Q21" s="113"/>
      <c r="R21" s="76"/>
    </row>
    <row r="22" spans="2:18" x14ac:dyDescent="0.2" ht="16" customHeight="1">
      <c r="B22" s="128" t="inlineStr">
        <is>
          <t xml:space="preserve">Insumos de vinificação (leveduras, enzimas, clarificantes)</t>
        </is>
      </c>
      <c r="C22" s="182">
        <v>79200</v>
      </c>
      <c r="D22" s="205">
        <f>C22/$C$8</f>
        <v>0.02</v>
      </c>
      <c r="E22" s="76"/>
      <c r="F22" s="76"/>
      <c r="G22" s="76"/>
      <c r="H22" s="76"/>
      <c r="I22" s="110"/>
      <c r="J22" s="147"/>
      <c r="K22" s="111"/>
      <c r="L22" s="112"/>
      <c r="M22" s="112"/>
      <c r="N22" s="111"/>
      <c r="O22" s="111"/>
      <c r="P22" s="112"/>
      <c r="Q22" s="113"/>
      <c r="R22" s="76"/>
    </row>
    <row r="23" spans="2:18" x14ac:dyDescent="0.2" ht="16" customHeight="1">
      <c r="B23" s="128" t="inlineStr">
        <is>
          <t xml:space="preserve">Manutenção de máquinas e equipamentos da produção</t>
        </is>
      </c>
      <c r="C23" s="182">
        <v>39600</v>
      </c>
      <c r="D23" s="205">
        <f>C23/$C$8</f>
        <v>0.01</v>
      </c>
      <c r="E23" s="76"/>
      <c r="F23" s="76"/>
      <c r="G23" s="76"/>
      <c r="H23" s="76"/>
      <c r="I23" s="110"/>
      <c r="J23" s="147"/>
      <c r="K23" s="111"/>
      <c r="L23" s="112"/>
      <c r="M23" s="112"/>
      <c r="N23" s="111"/>
      <c r="O23" s="111"/>
      <c r="P23" s="112"/>
      <c r="Q23" s="113"/>
      <c r="R23" s="76"/>
    </row>
    <row r="24" spans="2:18" ht="17" thickBot="1" x14ac:dyDescent="0.25">
      <c r="B24" s="135"/>
      <c r="C24" s="124"/>
      <c r="D24" s="134"/>
      <c r="E24" s="76"/>
      <c r="F24" s="76"/>
      <c r="G24" s="76"/>
      <c r="H24" s="76"/>
      <c r="I24" s="114" t="inlineStr">
        <is>
          <t xml:space="preserve">Ideal: QUANT. = vendas do mês; CF unit = CF ÷ Σ vendido</t>
        </is>
      </c>
      <c r="J24" s="148"/>
      <c r="K24" s="115"/>
      <c r="L24" s="116"/>
      <c r="M24" s="116"/>
      <c r="N24" s="115"/>
      <c r="O24" s="115"/>
      <c r="P24" s="116"/>
      <c r="Q24" s="117"/>
      <c r="R24" s="76"/>
    </row>
    <row r="25" spans="2:18" x14ac:dyDescent="0.2" ht="16" customHeight="1">
      <c r="B25" s="128"/>
      <c r="C25" s="82"/>
      <c r="D25" s="13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</row>
    <row r="26" spans="2:18" x14ac:dyDescent="0.2" ht="16" customHeight="1">
      <c r="B26" s="130"/>
      <c r="C26" s="85"/>
      <c r="D26" s="13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</row>
    <row r="27" spans="2:18" x14ac:dyDescent="0.2" ht="16" customHeight="1">
      <c r="B27" s="130"/>
      <c r="C27" s="85"/>
      <c r="D27" s="13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</row>
    <row r="28" spans="2:18" ht="17" thickBot="1" x14ac:dyDescent="0.25">
      <c r="B28" s="130"/>
      <c r="C28" s="87"/>
      <c r="D28" s="129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</row>
    <row r="29" spans="2:18" ht="17" thickBot="1" x14ac:dyDescent="0.25">
      <c r="B29" s="131"/>
      <c r="C29" s="177">
        <f>C10+C18</f>
        <v>2587800.0</v>
      </c>
      <c r="D29" s="202">
        <f>C29/$C$8</f>
        <v>0.653484848484848</v>
      </c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</row>
    <row r="30" spans="2:18" ht="17" thickBot="1" x14ac:dyDescent="0.25">
      <c r="B30" s="137"/>
      <c r="C30" s="87"/>
      <c r="D30" s="138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</row>
    <row r="31" spans="2:18" ht="15.75" customHeight="1" thickBot="1" x14ac:dyDescent="0.25">
      <c r="B31" s="131"/>
      <c r="C31" s="177">
        <f>C8-C29</f>
        <v>1372200.0</v>
      </c>
      <c r="D31" s="202">
        <f>C31/$C$8</f>
        <v>0.346515151515152</v>
      </c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</row>
    <row r="32" spans="2:18" ht="15.75" customHeight="1" thickBot="1" x14ac:dyDescent="0.25">
      <c r="B32" s="132"/>
      <c r="C32" s="78"/>
      <c r="D32" s="139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</row>
    <row r="33" spans="2:18" ht="15.75" customHeight="1" thickBot="1" x14ac:dyDescent="0.25">
      <c r="B33" s="131"/>
      <c r="C33" s="178">
        <f>SUM(C34:C45)</f>
        <v>924000.0</v>
      </c>
      <c r="D33" s="202">
        <f>C33/$C$8</f>
        <v>0.233333333333333</v>
      </c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</row>
    <row r="34" spans="2:18" ht="15.75" customHeight="1" x14ac:dyDescent="0.2">
      <c r="B34" s="130" t="inlineStr">
        <is>
          <t xml:space="preserve">Água utilizada na administração</t>
        </is>
      </c>
      <c r="C34" s="183">
        <v>2500</v>
      </c>
      <c r="D34" s="204">
        <f>C34/$C$8</f>
        <v>0.000631313131313131</v>
      </c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</row>
    <row r="35" spans="2:18" ht="15.75" customHeight="1" x14ac:dyDescent="0.2">
      <c r="B35" s="130" t="inlineStr">
        <is>
          <t xml:space="preserve">Depreciação de tanques, barricas e envasadora</t>
        </is>
      </c>
      <c r="C35" s="183">
        <v>110000</v>
      </c>
      <c r="D35" s="204">
        <f>C35/$C$8</f>
        <v>0.0277777777777778</v>
      </c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</row>
    <row r="36" spans="2:18" ht="15.75" customHeight="1" x14ac:dyDescent="0.2">
      <c r="B36" s="130" t="inlineStr">
        <is>
          <t xml:space="preserve">Honorários contábeis</t>
        </is>
      </c>
      <c r="C36" s="183">
        <v>12000</v>
      </c>
      <c r="D36" s="204">
        <f>C36/$C$8</f>
        <v>0.00303030303030303</v>
      </c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</row>
    <row r="37" spans="2:18" ht="15.75" customHeight="1" x14ac:dyDescent="0.2">
      <c r="B37" s="130" t="inlineStr">
        <is>
          <t xml:space="preserve">IPTU e taxas municipais</t>
        </is>
      </c>
      <c r="C37" s="183">
        <v>8000</v>
      </c>
      <c r="D37" s="204">
        <f>C37/$C$8</f>
        <v>0.00202020202020202</v>
      </c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</row>
    <row r="38" spans="2:18" ht="15.75" customHeight="1" x14ac:dyDescent="0.2">
      <c r="B38" s="130" t="inlineStr">
        <is>
          <t xml:space="preserve">Manutenção de equipamentos de escritório</t>
        </is>
      </c>
      <c r="C38" s="183">
        <v>4000</v>
      </c>
      <c r="D38" s="204">
        <f>C38/$C$8</f>
        <v>0.00101010101010101</v>
      </c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</row>
    <row r="39" spans="2:18" ht="15.75" customHeight="1" x14ac:dyDescent="0.2">
      <c r="B39" s="130" t="inlineStr">
        <is>
          <t xml:space="preserve">Material de limpeza</t>
        </is>
      </c>
      <c r="C39" s="183">
        <v>5500</v>
      </c>
      <c r="D39" s="204">
        <f>C39/$C$8</f>
        <v>0.00138888888888889</v>
      </c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</row>
    <row r="40" spans="2:18" ht="15.75" customHeight="1" x14ac:dyDescent="0.2">
      <c r="B40" s="130" t="inlineStr">
        <is>
          <t xml:space="preserve">Pró-labore</t>
        </is>
      </c>
      <c r="C40" s="183">
        <v>80000</v>
      </c>
      <c r="D40" s="204">
        <f>C40/$C$8</f>
        <v>0.0202020202020202</v>
      </c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</row>
    <row r="41" spans="2:18" ht="15.75" customHeight="1" x14ac:dyDescent="0.2">
      <c r="B41" s="130" t="inlineStr">
        <is>
          <t xml:space="preserve">Salários</t>
        </is>
      </c>
      <c r="C41" s="183">
        <v>620000</v>
      </c>
      <c r="D41" s="204">
        <f>C41/$C$8</f>
        <v>0.156565656565657</v>
      </c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</row>
    <row r="42" spans="2:18" ht="15.75" customHeight="1" x14ac:dyDescent="0.2">
      <c r="B42" s="130" t="inlineStr">
        <is>
          <t xml:space="preserve">Seguros</t>
        </is>
      </c>
      <c r="C42" s="183">
        <v>18000</v>
      </c>
      <c r="D42" s="204">
        <f>C42/$C$8</f>
        <v>0.00454545454545455</v>
      </c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</row>
    <row r="43" spans="2:18" ht="15.75" customHeight="1" thickBot="1" x14ac:dyDescent="0.25">
      <c r="B43" s="130" t="inlineStr">
        <is>
          <t xml:space="preserve">Suprimentos para escritório</t>
        </is>
      </c>
      <c r="C43" s="183">
        <v>6000</v>
      </c>
      <c r="D43" s="204">
        <f>C43/$C$8</f>
        <v>0.00151515151515152</v>
      </c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</row>
    <row r="44" spans="2:18" ht="15.75" customHeight="1" thickBot="1" x14ac:dyDescent="0.25">
      <c r="B44" s="130" t="inlineStr">
        <is>
          <t xml:space="preserve">Telefone e internet</t>
        </is>
      </c>
      <c r="C44" s="183">
        <v>6000</v>
      </c>
      <c r="D44" s="204">
        <f>C44/$C$8</f>
        <v>0.00151515151515152</v>
      </c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</row>
    <row r="45" spans="2:18" ht="15.75" customHeight="1" thickBot="1" x14ac:dyDescent="0.25">
      <c r="B45" s="130" t="inlineStr">
        <is>
          <t xml:space="preserve">Vale-refeição</t>
        </is>
      </c>
      <c r="C45" s="183">
        <v>52000</v>
      </c>
      <c r="D45" s="204">
        <f>C45/$C$8</f>
        <v>0.0131313131313131</v>
      </c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</row>
    <row r="46" spans="2:18" ht="15.75" customHeight="1" thickBot="1" x14ac:dyDescent="0.25">
      <c r="B46" s="131"/>
      <c r="C46" s="179">
        <f>C31-C33</f>
        <v>448200.0</v>
      </c>
      <c r="D46" s="203">
        <f>C46/$C$8</f>
        <v>0.113181818181818</v>
      </c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</row>
    <row r="47" spans="2:18" ht="15.75" customHeight="1" x14ac:dyDescent="0.2"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</row>
    <row r="48" spans="2:18" ht="15.75" customHeight="1" x14ac:dyDescent="0.2"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</row>
    <row r="49" spans="2:18" ht="15.75" customHeight="1" x14ac:dyDescent="0.2"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</row>
    <row r="50" spans="2:18" ht="15.75" customHeight="1" x14ac:dyDescent="0.2"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</row>
    <row r="51" spans="2:18" ht="15.75" customHeight="1" x14ac:dyDescent="0.2"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</row>
    <row r="52" spans="2:18" ht="15.75" customHeight="1" x14ac:dyDescent="0.2"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</row>
    <row r="53" spans="2:18" ht="15.75" customHeight="1" x14ac:dyDescent="0.2"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</row>
    <row r="54" spans="2:18" ht="15.75" customHeight="1" x14ac:dyDescent="0.2"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</row>
    <row r="55" spans="2:18" ht="15.75" customHeight="1" x14ac:dyDescent="0.2"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</row>
    <row r="56" spans="2:18" ht="15.75" customHeight="1" x14ac:dyDescent="0.2"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</row>
    <row r="57" spans="2:18" ht="15.75" customHeight="1" x14ac:dyDescent="0.2"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</row>
    <row r="58" spans="2:18" ht="15.75" customHeight="1" x14ac:dyDescent="0.2"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</row>
    <row r="59" spans="2:18" ht="15.75" customHeight="1" x14ac:dyDescent="0.2"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</row>
    <row r="60" spans="2:18" ht="15.75" customHeight="1" x14ac:dyDescent="0.2"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</row>
    <row r="61" spans="2:18" ht="15.75" customHeight="1" x14ac:dyDescent="0.2"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</row>
    <row r="62" spans="2:18" ht="15.75" customHeight="1" x14ac:dyDescent="0.2"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</row>
    <row r="63" spans="2:18" ht="15.75" customHeight="1" x14ac:dyDescent="0.2"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</row>
    <row r="64" spans="2:18" ht="15.75" customHeight="1" x14ac:dyDescent="0.2"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</row>
    <row r="65" spans="2:18" ht="15.75" customHeight="1" x14ac:dyDescent="0.2"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</row>
    <row r="66" spans="2:18" ht="15.75" customHeight="1" x14ac:dyDescent="0.2"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</row>
    <row r="67" spans="2:18" ht="15.75" customHeight="1" x14ac:dyDescent="0.2"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</row>
    <row r="68" spans="2:18" ht="15.75" customHeight="1" x14ac:dyDescent="0.2"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</row>
    <row r="69" spans="2:18" ht="15.75" customHeight="1" x14ac:dyDescent="0.2"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</row>
    <row r="70" spans="2:18" ht="15.75" customHeight="1" x14ac:dyDescent="0.2"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</row>
    <row r="71" spans="2:18" ht="15.75" customHeight="1" x14ac:dyDescent="0.2"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</row>
    <row r="72" spans="2:18" ht="15.75" customHeight="1" x14ac:dyDescent="0.2"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</row>
    <row r="73" spans="2:18" ht="15.75" customHeight="1" x14ac:dyDescent="0.2"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</row>
    <row r="74" spans="2:18" ht="15.75" customHeight="1" x14ac:dyDescent="0.2"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</row>
    <row r="75" spans="2:18" ht="15.75" customHeight="1" x14ac:dyDescent="0.2"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</row>
    <row r="76" spans="2:18" ht="15.75" customHeight="1" x14ac:dyDescent="0.2"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</row>
    <row r="77" spans="2:18" ht="15.75" customHeight="1" x14ac:dyDescent="0.2"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</row>
    <row r="78" spans="2:18" ht="15.75" customHeight="1" x14ac:dyDescent="0.2"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</row>
    <row r="79" spans="2:18" ht="15.75" customHeight="1" x14ac:dyDescent="0.2"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</row>
    <row r="80" spans="2:18" ht="15.75" customHeight="1" x14ac:dyDescent="0.2"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</row>
    <row r="81" spans="2:18" ht="15.75" customHeight="1" x14ac:dyDescent="0.2"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</row>
    <row r="82" spans="2:18" ht="15.75" customHeight="1" x14ac:dyDescent="0.2"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</row>
    <row r="83" spans="2:18" ht="15.75" customHeight="1" x14ac:dyDescent="0.2"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</row>
    <row r="84" spans="2:18" ht="15.75" customHeight="1" x14ac:dyDescent="0.2"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</row>
    <row r="85" spans="2:18" ht="15.75" customHeight="1" x14ac:dyDescent="0.2"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</row>
    <row r="86" spans="2:18" ht="15.75" customHeight="1" x14ac:dyDescent="0.2"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</row>
    <row r="87" spans="2:18" ht="15.75" customHeight="1" x14ac:dyDescent="0.2"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</row>
    <row r="88" spans="2:18" ht="15.75" customHeight="1" x14ac:dyDescent="0.2"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</row>
    <row r="89" spans="2:18" ht="15.75" customHeight="1" x14ac:dyDescent="0.2"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</row>
    <row r="90" spans="2:18" ht="15.75" customHeight="1" x14ac:dyDescent="0.2"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</row>
    <row r="91" spans="2:18" ht="15.75" customHeight="1" x14ac:dyDescent="0.2"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</row>
    <row r="92" spans="2:18" ht="15.75" customHeight="1" x14ac:dyDescent="0.2"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</row>
    <row r="93" spans="2:18" ht="15.75" customHeight="1" x14ac:dyDescent="0.2"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</row>
    <row r="94" spans="2:18" ht="15.75" customHeight="1" x14ac:dyDescent="0.2"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</row>
    <row r="95" spans="2:18" ht="15.75" customHeight="1" x14ac:dyDescent="0.2"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</row>
    <row r="96" spans="2:18" ht="15.75" customHeight="1" x14ac:dyDescent="0.2"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</row>
    <row r="97" spans="2:18" ht="15.75" customHeight="1" x14ac:dyDescent="0.2"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</row>
    <row r="98" spans="2:18" ht="15.75" customHeight="1" x14ac:dyDescent="0.2"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</row>
    <row r="99" spans="2:18" ht="15.75" customHeight="1" x14ac:dyDescent="0.2"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</row>
    <row r="100" spans="2:18" ht="15.75" customHeight="1" x14ac:dyDescent="0.2"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</row>
    <row r="101" spans="2:18" ht="15.75" customHeight="1" x14ac:dyDescent="0.2"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</row>
    <row r="102" spans="2:18" ht="15.75" customHeight="1" x14ac:dyDescent="0.2"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</row>
    <row r="103" spans="2:18" ht="15.75" customHeight="1" x14ac:dyDescent="0.2"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</row>
    <row r="104" spans="2:18" ht="15.75" customHeight="1" x14ac:dyDescent="0.2"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</row>
    <row r="105" spans="2:18" ht="15.75" customHeight="1" x14ac:dyDescent="0.2"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</row>
    <row r="106" spans="2:18" ht="15.75" customHeight="1" x14ac:dyDescent="0.2"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</row>
    <row r="107" spans="2:18" ht="15.75" customHeight="1" x14ac:dyDescent="0.2"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</row>
    <row r="108" spans="2:18" ht="15.75" customHeight="1" x14ac:dyDescent="0.2"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</row>
    <row r="109" spans="2:18" ht="15.75" customHeight="1" x14ac:dyDescent="0.2"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</row>
    <row r="110" spans="2:18" ht="15.75" customHeight="1" x14ac:dyDescent="0.2"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</row>
    <row r="111" spans="2:18" ht="15.75" customHeight="1" x14ac:dyDescent="0.2"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</row>
    <row r="112" spans="2:18" ht="15.75" customHeight="1" x14ac:dyDescent="0.2"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</row>
    <row r="113" spans="2:18" ht="15.75" customHeight="1" x14ac:dyDescent="0.2"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</row>
    <row r="114" spans="2:18" ht="15.75" customHeight="1" x14ac:dyDescent="0.2"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</row>
    <row r="115" spans="2:18" ht="15.75" customHeight="1" x14ac:dyDescent="0.2"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</row>
    <row r="116" spans="2:18" ht="15.75" customHeight="1" x14ac:dyDescent="0.2"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</row>
    <row r="117" spans="2:18" ht="15.75" customHeight="1" x14ac:dyDescent="0.2"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</row>
    <row r="118" spans="2:18" ht="15.75" customHeight="1" x14ac:dyDescent="0.2"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</row>
    <row r="119" spans="2:18" ht="15.75" customHeight="1" x14ac:dyDescent="0.2"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</row>
    <row r="120" spans="2:18" ht="15.75" customHeight="1" x14ac:dyDescent="0.2"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</row>
    <row r="121" spans="2:18" ht="15.75" customHeight="1" x14ac:dyDescent="0.2"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</row>
    <row r="122" spans="2:18" ht="15.75" customHeight="1" x14ac:dyDescent="0.2"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</row>
    <row r="123" spans="2:18" ht="15.75" customHeight="1" x14ac:dyDescent="0.2"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</row>
    <row r="124" spans="2:18" ht="15.75" customHeight="1" x14ac:dyDescent="0.2"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</row>
    <row r="125" spans="2:18" ht="15.75" customHeight="1" x14ac:dyDescent="0.2"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</row>
    <row r="126" spans="2:18" ht="15.75" customHeight="1" x14ac:dyDescent="0.2"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</row>
    <row r="127" spans="2:18" ht="15.75" customHeight="1" x14ac:dyDescent="0.2"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</row>
    <row r="128" spans="2:18" ht="15.75" customHeight="1" x14ac:dyDescent="0.2"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</row>
    <row r="129" spans="2:18" ht="15.75" customHeight="1" x14ac:dyDescent="0.2"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</row>
    <row r="130" spans="2:18" ht="15.75" customHeight="1" x14ac:dyDescent="0.2"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</row>
    <row r="131" spans="2:18" ht="15.75" customHeight="1" x14ac:dyDescent="0.2"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</row>
    <row r="132" spans="2:18" ht="15.75" customHeight="1" x14ac:dyDescent="0.2"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</row>
    <row r="133" spans="2:18" ht="15.75" customHeight="1" x14ac:dyDescent="0.2"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</row>
    <row r="134" spans="2:18" ht="15.75" customHeight="1" x14ac:dyDescent="0.2"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</row>
    <row r="135" spans="2:18" ht="15.75" customHeight="1" x14ac:dyDescent="0.2"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</row>
    <row r="136" spans="2:18" ht="15.75" customHeight="1" x14ac:dyDescent="0.2"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</row>
    <row r="137" spans="2:18" ht="15.75" customHeight="1" x14ac:dyDescent="0.2"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</row>
    <row r="138" spans="2:18" ht="15.75" customHeight="1" x14ac:dyDescent="0.2"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</row>
    <row r="139" spans="2:18" ht="15.75" customHeight="1" x14ac:dyDescent="0.2"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</row>
    <row r="140" spans="2:18" ht="15.75" customHeight="1" x14ac:dyDescent="0.2"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</row>
    <row r="141" spans="2:18" ht="15.75" customHeight="1" x14ac:dyDescent="0.2"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</row>
    <row r="142" spans="2:18" ht="15.75" customHeight="1" x14ac:dyDescent="0.2"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</row>
    <row r="143" spans="2:18" ht="15.75" customHeight="1" x14ac:dyDescent="0.2"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</row>
    <row r="144" spans="2:18" ht="15.75" customHeight="1" x14ac:dyDescent="0.2"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</row>
    <row r="145" spans="2:18" ht="15.75" customHeight="1" x14ac:dyDescent="0.2"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</row>
    <row r="146" spans="2:18" ht="15.75" customHeight="1" x14ac:dyDescent="0.2"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</row>
    <row r="147" spans="2:18" ht="15.75" customHeight="1" x14ac:dyDescent="0.2"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</row>
    <row r="148" spans="2:18" ht="15.75" customHeight="1" x14ac:dyDescent="0.2"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</row>
    <row r="149" spans="2:18" ht="15.75" customHeight="1" x14ac:dyDescent="0.2"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</row>
    <row r="150" spans="2:18" ht="15.75" customHeight="1" x14ac:dyDescent="0.2"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</row>
    <row r="151" spans="2:18" ht="15.75" customHeight="1" x14ac:dyDescent="0.2"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</row>
    <row r="152" spans="2:18" ht="15.75" customHeight="1" x14ac:dyDescent="0.2"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</row>
    <row r="153" spans="2:18" ht="15.75" customHeight="1" x14ac:dyDescent="0.2"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</row>
    <row r="154" spans="2:18" ht="15.75" customHeight="1" x14ac:dyDescent="0.2"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</row>
    <row r="155" spans="2:18" ht="15.75" customHeight="1" x14ac:dyDescent="0.2"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</row>
    <row r="156" spans="2:18" ht="15.75" customHeight="1" x14ac:dyDescent="0.2"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</row>
    <row r="157" spans="2:18" ht="15.75" customHeight="1" x14ac:dyDescent="0.2"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</row>
    <row r="158" spans="2:18" ht="15.75" customHeight="1" x14ac:dyDescent="0.2"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</row>
    <row r="159" spans="2:18" ht="15.75" customHeight="1" x14ac:dyDescent="0.2"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</row>
    <row r="160" spans="2:18" ht="15.75" customHeight="1" x14ac:dyDescent="0.2"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</row>
    <row r="161" spans="2:18" ht="15.75" customHeight="1" x14ac:dyDescent="0.2"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</row>
    <row r="162" spans="2:18" ht="15.75" customHeight="1" x14ac:dyDescent="0.2"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</row>
    <row r="163" spans="2:18" ht="15.75" customHeight="1" x14ac:dyDescent="0.2"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</row>
    <row r="164" spans="2:18" ht="15.75" customHeight="1" x14ac:dyDescent="0.2"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</row>
    <row r="165" spans="2:18" ht="15.75" customHeight="1" x14ac:dyDescent="0.2"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</row>
    <row r="166" spans="2:18" ht="15.75" customHeight="1" x14ac:dyDescent="0.2"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</row>
    <row r="167" spans="2:18" ht="15.75" customHeight="1" x14ac:dyDescent="0.2"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</row>
    <row r="168" spans="2:18" ht="15.75" customHeight="1" x14ac:dyDescent="0.2"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</row>
    <row r="169" spans="2:18" ht="15.75" customHeight="1" x14ac:dyDescent="0.2"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</row>
    <row r="170" spans="2:18" ht="15.75" customHeight="1" x14ac:dyDescent="0.2"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</row>
    <row r="171" spans="2:18" ht="15.75" customHeight="1" x14ac:dyDescent="0.2"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</row>
    <row r="172" spans="2:18" ht="15.75" customHeight="1" x14ac:dyDescent="0.2"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</row>
    <row r="173" spans="2:18" ht="15.75" customHeight="1" x14ac:dyDescent="0.2"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</row>
    <row r="174" spans="2:18" ht="15.75" customHeight="1" x14ac:dyDescent="0.2"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</row>
    <row r="175" spans="2:18" ht="15.75" customHeight="1" x14ac:dyDescent="0.2"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</row>
    <row r="176" spans="2:18" ht="15.75" customHeight="1" x14ac:dyDescent="0.2"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</row>
    <row r="177" spans="2:18" ht="15.75" customHeight="1" x14ac:dyDescent="0.2"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</row>
    <row r="178" spans="2:18" ht="15.75" customHeight="1" x14ac:dyDescent="0.2"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</row>
    <row r="179" spans="2:18" ht="15.75" customHeight="1" x14ac:dyDescent="0.2"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</row>
    <row r="180" spans="2:18" ht="15.75" customHeight="1" x14ac:dyDescent="0.2"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</row>
    <row r="181" spans="2:18" ht="15.75" customHeight="1" x14ac:dyDescent="0.2"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</row>
    <row r="182" spans="2:18" ht="15.75" customHeight="1" x14ac:dyDescent="0.2"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</row>
    <row r="183" spans="2:18" ht="15.75" customHeight="1" x14ac:dyDescent="0.2"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</row>
    <row r="184" spans="2:18" ht="15.75" customHeight="1" x14ac:dyDescent="0.2"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</row>
    <row r="185" spans="2:18" ht="15.75" customHeight="1" x14ac:dyDescent="0.2"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</row>
    <row r="186" spans="2:18" ht="15.75" customHeight="1" x14ac:dyDescent="0.2"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</row>
    <row r="187" spans="2:18" ht="15.75" customHeight="1" x14ac:dyDescent="0.2"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</row>
    <row r="188" spans="2:18" ht="15.75" customHeight="1" x14ac:dyDescent="0.2"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</row>
    <row r="189" spans="2:18" ht="15.75" customHeight="1" x14ac:dyDescent="0.2"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</row>
    <row r="190" spans="2:18" ht="15.75" customHeight="1" x14ac:dyDescent="0.2"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</row>
    <row r="191" spans="2:18" ht="15.75" customHeight="1" x14ac:dyDescent="0.2"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</row>
    <row r="192" spans="2:18" ht="15.75" customHeight="1" x14ac:dyDescent="0.2"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</row>
    <row r="193" spans="2:18" ht="15.75" customHeight="1" x14ac:dyDescent="0.2"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</row>
    <row r="194" spans="2:18" ht="15.75" customHeight="1" x14ac:dyDescent="0.2"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</row>
    <row r="195" spans="2:18" ht="15.75" customHeight="1" x14ac:dyDescent="0.2"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</row>
    <row r="196" spans="2:18" ht="15.75" customHeight="1" x14ac:dyDescent="0.2"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</row>
    <row r="197" spans="2:18" ht="15.75" customHeight="1" x14ac:dyDescent="0.2"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</row>
    <row r="198" spans="2:18" ht="15.75" customHeight="1" x14ac:dyDescent="0.2"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</row>
    <row r="199" spans="2:18" ht="15.75" customHeight="1" x14ac:dyDescent="0.2"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</row>
    <row r="200" spans="2:18" ht="15.75" customHeight="1" x14ac:dyDescent="0.2"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</row>
    <row r="201" spans="2:18" ht="15.75" customHeight="1" x14ac:dyDescent="0.2"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</row>
    <row r="202" spans="2:18" ht="15.75" customHeight="1" x14ac:dyDescent="0.2"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</row>
    <row r="203" spans="2:18" ht="15.75" customHeight="1" x14ac:dyDescent="0.2"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</row>
    <row r="204" spans="2:18" ht="15.75" customHeight="1" x14ac:dyDescent="0.2"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</row>
    <row r="205" spans="2:18" ht="15.75" customHeight="1" x14ac:dyDescent="0.2"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</row>
    <row r="206" spans="2:18" ht="15.75" customHeight="1" x14ac:dyDescent="0.2"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</row>
    <row r="207" spans="2:18" ht="15.75" customHeight="1" x14ac:dyDescent="0.2"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</row>
    <row r="208" spans="2:18" ht="15.75" customHeight="1" x14ac:dyDescent="0.2"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</row>
    <row r="209" spans="2:18" ht="15.75" customHeight="1" x14ac:dyDescent="0.2"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</row>
    <row r="210" spans="2:18" ht="15.75" customHeight="1" x14ac:dyDescent="0.2"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</row>
    <row r="211" spans="2:18" ht="15.75" customHeight="1" x14ac:dyDescent="0.2"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</row>
    <row r="212" spans="2:18" ht="15.75" customHeight="1" x14ac:dyDescent="0.2"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</row>
    <row r="213" spans="2:18" ht="15.75" customHeight="1" x14ac:dyDescent="0.2"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</row>
    <row r="214" spans="2:18" ht="15.75" customHeight="1" x14ac:dyDescent="0.2"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</row>
    <row r="215" spans="2:18" ht="15.75" customHeight="1" x14ac:dyDescent="0.2"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</row>
    <row r="216" spans="2:18" ht="15.75" customHeight="1" x14ac:dyDescent="0.2"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</row>
    <row r="217" spans="2:18" ht="15.75" customHeight="1" x14ac:dyDescent="0.2"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</row>
    <row r="218" spans="2:18" ht="15.75" customHeight="1" x14ac:dyDescent="0.2"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</row>
    <row r="219" spans="2:18" ht="15.75" customHeight="1" x14ac:dyDescent="0.2"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</row>
    <row r="220" spans="2:18" ht="15.75" customHeight="1" x14ac:dyDescent="0.2"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</row>
    <row r="221" spans="2:18" ht="15.75" customHeight="1" x14ac:dyDescent="0.2"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</row>
    <row r="222" spans="2:18" ht="15.75" customHeight="1" x14ac:dyDescent="0.2"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</row>
    <row r="223" spans="2:18" ht="15.75" customHeight="1" x14ac:dyDescent="0.2"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</row>
    <row r="224" spans="2:18" ht="15.75" customHeight="1" x14ac:dyDescent="0.2"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</row>
    <row r="225" spans="2:18" ht="15.75" customHeight="1" x14ac:dyDescent="0.2"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</row>
    <row r="226" spans="2:18" ht="15.75" customHeight="1" x14ac:dyDescent="0.2"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</row>
    <row r="227" spans="2:18" ht="15.75" customHeight="1" x14ac:dyDescent="0.2"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</row>
    <row r="228" spans="2:18" ht="15.75" customHeight="1" x14ac:dyDescent="0.2"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</row>
    <row r="229" spans="2:18" ht="15.75" customHeight="1" x14ac:dyDescent="0.2"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</row>
    <row r="230" spans="2:18" ht="15.75" customHeight="1" x14ac:dyDescent="0.2"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</row>
    <row r="231" spans="2:18" ht="15.75" customHeight="1" x14ac:dyDescent="0.2"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</row>
    <row r="232" spans="2:18" ht="15.75" customHeight="1" x14ac:dyDescent="0.2"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</row>
    <row r="233" spans="2:18" ht="15.75" customHeight="1" x14ac:dyDescent="0.2"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</row>
    <row r="234" spans="2:18" ht="15.75" customHeight="1" x14ac:dyDescent="0.2"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</row>
    <row r="235" spans="2:18" ht="15.75" customHeight="1" x14ac:dyDescent="0.2"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</row>
    <row r="236" spans="2:18" ht="15.75" customHeight="1" x14ac:dyDescent="0.2"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</row>
    <row r="237" spans="2:18" ht="15.75" customHeight="1" x14ac:dyDescent="0.2"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</row>
    <row r="238" spans="2:18" ht="15.75" customHeight="1" x14ac:dyDescent="0.2"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</row>
    <row r="239" spans="2:18" ht="15.75" customHeight="1" x14ac:dyDescent="0.2"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</row>
    <row r="240" spans="2:18" ht="15.75" customHeight="1" x14ac:dyDescent="0.2"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</row>
    <row r="241" spans="2:18" ht="15.75" customHeight="1" x14ac:dyDescent="0.2"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</row>
    <row r="242" spans="2:18" ht="15.75" customHeight="1" x14ac:dyDescent="0.2"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</row>
    <row r="243" spans="2:18" ht="15.75" customHeight="1" x14ac:dyDescent="0.2"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</row>
    <row r="244" spans="2:18" ht="15.75" customHeight="1" x14ac:dyDescent="0.2"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</row>
    <row r="245" spans="2:18" ht="15.75" customHeight="1" x14ac:dyDescent="0.2"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</row>
    <row r="246" spans="2:18" ht="15.75" customHeight="1" x14ac:dyDescent="0.2"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</row>
    <row r="247" spans="2:18" ht="15.75" customHeight="1" x14ac:dyDescent="0.2"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</row>
    <row r="248" spans="2:18" ht="15.75" customHeight="1" x14ac:dyDescent="0.2"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</row>
    <row r="249" spans="2:18" ht="15.75" customHeight="1" x14ac:dyDescent="0.2"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</row>
    <row r="250" spans="2:18" ht="15.75" customHeight="1" x14ac:dyDescent="0.2"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</row>
    <row r="251" spans="2:18" ht="15.75" customHeight="1" x14ac:dyDescent="0.2"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</row>
    <row r="252" spans="2:18" ht="15.75" customHeight="1" x14ac:dyDescent="0.2"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</row>
    <row r="253" spans="2:18" ht="15.75" customHeight="1" x14ac:dyDescent="0.2"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</row>
    <row r="254" spans="2:18" ht="15.75" customHeight="1" x14ac:dyDescent="0.2"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</row>
    <row r="255" spans="2:18" ht="15.75" customHeight="1" x14ac:dyDescent="0.2"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</row>
    <row r="256" spans="2:18" ht="15.75" customHeight="1" x14ac:dyDescent="0.2"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</row>
    <row r="257" spans="2:18" ht="15.75" customHeight="1" x14ac:dyDescent="0.2"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</row>
    <row r="258" spans="2:18" ht="15.75" customHeight="1" x14ac:dyDescent="0.2"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</row>
    <row r="259" spans="2:18" ht="15.75" customHeight="1" x14ac:dyDescent="0.2"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</row>
    <row r="260" spans="2:18" ht="15.75" customHeight="1" x14ac:dyDescent="0.2"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</row>
    <row r="261" spans="2:18" ht="15.75" customHeight="1" x14ac:dyDescent="0.2"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</row>
    <row r="262" spans="2:18" ht="15.75" customHeight="1" x14ac:dyDescent="0.2"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</row>
    <row r="263" spans="2:18" ht="15.75" customHeight="1" x14ac:dyDescent="0.2"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</row>
    <row r="264" spans="2:18" ht="15.75" customHeight="1" x14ac:dyDescent="0.2"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</row>
    <row r="265" spans="2:18" ht="15.75" customHeight="1" x14ac:dyDescent="0.2"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</row>
    <row r="266" spans="2:18" ht="15.75" customHeight="1" x14ac:dyDescent="0.2"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</row>
    <row r="267" spans="2:18" ht="15.75" customHeight="1" x14ac:dyDescent="0.2"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</row>
    <row r="268" spans="2:18" ht="15.75" customHeight="1" x14ac:dyDescent="0.2"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</row>
    <row r="269" spans="2:18" ht="15.75" customHeight="1" x14ac:dyDescent="0.2"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</row>
    <row r="270" spans="2:18" ht="15.75" customHeight="1" x14ac:dyDescent="0.2"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</row>
    <row r="271" spans="2:18" ht="15.75" customHeight="1" x14ac:dyDescent="0.2"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</row>
    <row r="272" spans="2:18" ht="15.75" customHeight="1" x14ac:dyDescent="0.2"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</row>
    <row r="273" spans="2:18" ht="15.75" customHeight="1" x14ac:dyDescent="0.2"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</row>
    <row r="274" spans="2:18" ht="15.75" customHeight="1" x14ac:dyDescent="0.2"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</row>
    <row r="275" spans="2:18" ht="15.75" customHeight="1" x14ac:dyDescent="0.2"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</row>
    <row r="276" spans="2:18" ht="15.75" customHeight="1" x14ac:dyDescent="0.2"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</row>
    <row r="277" spans="2:18" ht="15.75" customHeight="1" x14ac:dyDescent="0.2"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</row>
    <row r="278" spans="2:18" ht="15.75" customHeight="1" x14ac:dyDescent="0.2"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</row>
    <row r="279" spans="2:18" ht="15.75" customHeight="1" x14ac:dyDescent="0.2"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</row>
    <row r="280" spans="2:18" ht="15.75" customHeight="1" x14ac:dyDescent="0.2"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</row>
    <row r="281" spans="2:18" ht="15.75" customHeight="1" x14ac:dyDescent="0.2"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</row>
    <row r="282" spans="2:18" ht="15.75" customHeight="1" x14ac:dyDescent="0.2"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</row>
    <row r="283" spans="2:18" ht="15.75" customHeight="1" x14ac:dyDescent="0.2"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</row>
    <row r="284" spans="2:18" ht="15.75" customHeight="1" x14ac:dyDescent="0.2"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</row>
    <row r="285" spans="2:18" ht="15.75" customHeight="1" x14ac:dyDescent="0.2"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</row>
    <row r="286" spans="2:18" ht="15.75" customHeight="1" x14ac:dyDescent="0.2"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</row>
    <row r="287" spans="2:18" ht="15.75" customHeight="1" x14ac:dyDescent="0.2"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</row>
    <row r="288" spans="2:18" ht="15.75" customHeight="1" x14ac:dyDescent="0.2"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</row>
    <row r="289" spans="2:18" ht="15.75" customHeight="1" x14ac:dyDescent="0.2"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</row>
    <row r="290" spans="2:18" ht="15.75" customHeight="1" x14ac:dyDescent="0.2"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</row>
    <row r="291" spans="2:18" ht="15.75" customHeight="1" x14ac:dyDescent="0.2"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</row>
    <row r="292" spans="2:18" ht="15.75" customHeight="1" x14ac:dyDescent="0.2"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</row>
    <row r="293" spans="2:18" ht="15.75" customHeight="1" x14ac:dyDescent="0.2"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</row>
    <row r="294" spans="2:18" ht="15.75" customHeight="1" x14ac:dyDescent="0.2"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</row>
    <row r="295" spans="2:18" ht="15.75" customHeight="1" x14ac:dyDescent="0.2"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</row>
    <row r="296" spans="2:18" ht="15.75" customHeight="1" x14ac:dyDescent="0.2"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</row>
    <row r="297" spans="2:18" ht="15.75" customHeight="1" x14ac:dyDescent="0.2"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</row>
    <row r="298" spans="2:18" ht="15.75" customHeight="1" x14ac:dyDescent="0.2"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</row>
    <row r="299" spans="2:18" ht="15.75" customHeight="1" x14ac:dyDescent="0.2"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</row>
    <row r="300" spans="2:18" ht="15.75" customHeight="1" x14ac:dyDescent="0.2"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</row>
    <row r="301" spans="2:18" ht="15.75" customHeight="1" x14ac:dyDescent="0.2"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</row>
    <row r="302" spans="2:18" ht="15.75" customHeight="1" x14ac:dyDescent="0.2"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</row>
    <row r="303" spans="2:18" ht="15.75" customHeight="1" x14ac:dyDescent="0.2"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</row>
    <row r="304" spans="2:18" ht="15.75" customHeight="1" x14ac:dyDescent="0.2"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</row>
    <row r="305" spans="2:18" ht="15.75" customHeight="1" x14ac:dyDescent="0.2"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</row>
    <row r="306" spans="2:18" ht="15.75" customHeight="1" x14ac:dyDescent="0.2"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</row>
    <row r="307" spans="2:18" ht="15.75" customHeight="1" x14ac:dyDescent="0.2"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</row>
    <row r="308" spans="2:18" ht="15.75" customHeight="1" x14ac:dyDescent="0.2"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</row>
    <row r="309" spans="2:18" ht="15.75" customHeight="1" x14ac:dyDescent="0.2"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</row>
    <row r="310" spans="2:18" ht="15.75" customHeight="1" x14ac:dyDescent="0.2"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</row>
    <row r="311" spans="2:18" ht="15.75" customHeight="1" x14ac:dyDescent="0.2"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</row>
    <row r="312" spans="2:18" ht="15.75" customHeight="1" x14ac:dyDescent="0.2"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</row>
    <row r="313" spans="2:18" ht="15.75" customHeight="1" x14ac:dyDescent="0.2"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</row>
    <row r="314" spans="2:18" ht="15.75" customHeight="1" x14ac:dyDescent="0.2"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</row>
    <row r="315" spans="2:18" ht="15.75" customHeight="1" x14ac:dyDescent="0.2"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</row>
    <row r="316" spans="2:18" ht="15.75" customHeight="1" x14ac:dyDescent="0.2"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</row>
    <row r="317" spans="2:18" ht="15.75" customHeight="1" x14ac:dyDescent="0.2"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</row>
    <row r="318" spans="2:18" ht="15.75" customHeight="1" x14ac:dyDescent="0.2"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</row>
    <row r="319" spans="2:18" ht="15.75" customHeight="1" x14ac:dyDescent="0.2"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</row>
    <row r="320" spans="2:18" ht="15.75" customHeight="1" x14ac:dyDescent="0.2"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</row>
    <row r="321" spans="2:18" ht="15.75" customHeight="1" x14ac:dyDescent="0.2"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</row>
    <row r="322" spans="2:18" ht="15.75" customHeight="1" x14ac:dyDescent="0.2"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</row>
    <row r="323" spans="2:18" ht="15.75" customHeight="1" x14ac:dyDescent="0.2"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</row>
    <row r="324" spans="2:18" ht="15.75" customHeight="1" x14ac:dyDescent="0.2"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</row>
    <row r="325" spans="2:18" ht="15.75" customHeight="1" x14ac:dyDescent="0.2"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</row>
    <row r="326" spans="2:18" ht="15.75" customHeight="1" x14ac:dyDescent="0.2"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</row>
    <row r="327" spans="2:18" ht="15.75" customHeight="1" x14ac:dyDescent="0.2"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</row>
    <row r="328" spans="2:18" ht="15.75" customHeight="1" x14ac:dyDescent="0.2"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</row>
    <row r="329" spans="2:18" ht="15.75" customHeight="1" x14ac:dyDescent="0.2"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</row>
    <row r="330" spans="2:18" ht="15.75" customHeight="1" x14ac:dyDescent="0.2"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</row>
    <row r="331" spans="2:18" ht="15.75" customHeight="1" x14ac:dyDescent="0.2"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</row>
    <row r="332" spans="2:18" ht="15.75" customHeight="1" x14ac:dyDescent="0.2"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</row>
    <row r="333" spans="2:18" ht="15.75" customHeight="1" x14ac:dyDescent="0.2"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</row>
    <row r="334" spans="2:18" ht="15.75" customHeight="1" x14ac:dyDescent="0.2"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</row>
    <row r="335" spans="2:18" ht="15.75" customHeight="1" x14ac:dyDescent="0.2"/>
    <row r="336" spans="2:18" ht="15.75" customHeight="1" x14ac:dyDescent="0.2"/>
    <row r="337" spans="2:18" ht="15.75" customHeight="1" x14ac:dyDescent="0.2"/>
    <row r="338" spans="2:1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" customHeight="1" x14ac:dyDescent="0.2"/>
    <row r="793" ht="15" customHeight="1" x14ac:dyDescent="0.2"/>
    <row r="794" ht="15" customHeight="1" x14ac:dyDescent="0.2"/>
    <row r="795" ht="15" customHeight="1" x14ac:dyDescent="0.2"/>
    <row r="796" ht="15" customHeight="1" x14ac:dyDescent="0.2"/>
    <row r="797" ht="15" customHeight="1" x14ac:dyDescent="0.2"/>
    <row r="798" ht="15" customHeight="1" x14ac:dyDescent="0.2"/>
    <row r="799" ht="15" customHeight="1" x14ac:dyDescent="0.2"/>
    <row r="800" ht="15" customHeight="1" x14ac:dyDescent="0.2"/>
    <row r="801" ht="15" customHeight="1" x14ac:dyDescent="0.2"/>
    <row r="802" ht="15" customHeight="1" x14ac:dyDescent="0.2"/>
    <row r="803" ht="15" customHeight="1" x14ac:dyDescent="0.2"/>
    <row r="804" ht="15" customHeight="1" x14ac:dyDescent="0.2"/>
    <row r="805" ht="15" customHeight="1" x14ac:dyDescent="0.2"/>
    <row r="806" ht="15" customHeight="1" x14ac:dyDescent="0.2"/>
    <row r="807" ht="15" customHeight="1" x14ac:dyDescent="0.2"/>
    <row r="808" ht="15" customHeight="1" x14ac:dyDescent="0.2"/>
    <row r="809" ht="15" customHeight="1" x14ac:dyDescent="0.2"/>
    <row r="810" ht="15" customHeight="1" x14ac:dyDescent="0.2"/>
    <row r="811" ht="15" customHeight="1" x14ac:dyDescent="0.2"/>
    <row r="812" ht="15" customHeight="1" x14ac:dyDescent="0.2"/>
    <row r="813" ht="15" customHeight="1" x14ac:dyDescent="0.2"/>
    <row r="814" ht="15" customHeight="1" x14ac:dyDescent="0.2"/>
    <row r="815" ht="15" customHeight="1" x14ac:dyDescent="0.2"/>
    <row r="816" ht="15" customHeight="1" x14ac:dyDescent="0.2"/>
    <row r="817" ht="15" customHeight="1" x14ac:dyDescent="0.2"/>
    <row r="818" ht="15" customHeight="1" x14ac:dyDescent="0.2"/>
    <row r="819" ht="15" customHeight="1" x14ac:dyDescent="0.2"/>
    <row r="820" ht="15" customHeight="1" x14ac:dyDescent="0.2"/>
    <row r="821" ht="15" customHeight="1" x14ac:dyDescent="0.2"/>
    <row r="822" ht="15" customHeight="1" x14ac:dyDescent="0.2"/>
    <row r="823" ht="15" customHeight="1" x14ac:dyDescent="0.2"/>
    <row r="824" ht="15" customHeight="1" x14ac:dyDescent="0.2"/>
    <row r="825" ht="15" customHeight="1" x14ac:dyDescent="0.2"/>
    <row r="826" ht="15" customHeight="1" x14ac:dyDescent="0.2"/>
    <row r="827" ht="15" customHeight="1" x14ac:dyDescent="0.2"/>
    <row r="828" ht="15" customHeight="1" x14ac:dyDescent="0.2"/>
    <row r="829" ht="15" customHeight="1" x14ac:dyDescent="0.2"/>
    <row r="830" ht="15" customHeight="1" x14ac:dyDescent="0.2"/>
    <row r="831" ht="15" customHeight="1" x14ac:dyDescent="0.2"/>
    <row r="832" ht="15" customHeight="1" x14ac:dyDescent="0.2"/>
    <row r="833" ht="15" customHeight="1" x14ac:dyDescent="0.2"/>
    <row r="834" ht="15" customHeight="1" x14ac:dyDescent="0.2"/>
    <row r="835" ht="15" customHeight="1" x14ac:dyDescent="0.2"/>
    <row r="836" ht="15" customHeight="1" x14ac:dyDescent="0.2"/>
    <row r="837" ht="15" customHeight="1" x14ac:dyDescent="0.2"/>
    <row r="838" ht="15" customHeight="1" x14ac:dyDescent="0.2"/>
    <row r="839" ht="15" customHeight="1" x14ac:dyDescent="0.2"/>
    <row r="840" ht="15" customHeight="1" x14ac:dyDescent="0.2"/>
    <row r="841" ht="15" customHeight="1" x14ac:dyDescent="0.2"/>
    <row r="842" ht="15" customHeight="1" x14ac:dyDescent="0.2"/>
    <row r="843" ht="15" customHeight="1" x14ac:dyDescent="0.2"/>
    <row r="844" ht="15" customHeight="1" x14ac:dyDescent="0.2"/>
    <row r="845" ht="15" customHeight="1" x14ac:dyDescent="0.2"/>
    <row r="846" ht="15" customHeight="1" x14ac:dyDescent="0.2"/>
    <row r="847" ht="15" customHeight="1" x14ac:dyDescent="0.2"/>
    <row r="848" ht="15" customHeight="1" x14ac:dyDescent="0.2"/>
    <row r="849" ht="15" customHeight="1" x14ac:dyDescent="0.2"/>
    <row r="850" ht="15" customHeight="1" x14ac:dyDescent="0.2"/>
    <row r="851" ht="15" customHeight="1" x14ac:dyDescent="0.2"/>
    <row r="852" ht="15" customHeight="1" x14ac:dyDescent="0.2"/>
    <row r="853" ht="15" customHeight="1" x14ac:dyDescent="0.2"/>
    <row r="854" ht="15" customHeight="1" x14ac:dyDescent="0.2"/>
    <row r="855" ht="15" customHeight="1" x14ac:dyDescent="0.2"/>
    <row r="856" ht="15" customHeight="1" x14ac:dyDescent="0.2"/>
    <row r="857" ht="15" customHeight="1" x14ac:dyDescent="0.2"/>
    <row r="858" ht="15" customHeight="1" x14ac:dyDescent="0.2"/>
    <row r="859" ht="15" customHeight="1" x14ac:dyDescent="0.2"/>
    <row r="860" ht="15" customHeight="1" x14ac:dyDescent="0.2"/>
    <row r="861" ht="15" customHeight="1" x14ac:dyDescent="0.2"/>
    <row r="862" ht="15" customHeight="1" x14ac:dyDescent="0.2"/>
    <row r="863" ht="15" customHeight="1" x14ac:dyDescent="0.2"/>
    <row r="864" ht="15" customHeight="1" x14ac:dyDescent="0.2"/>
    <row r="865" ht="15" customHeight="1" x14ac:dyDescent="0.2"/>
    <row r="866" ht="15" customHeight="1" x14ac:dyDescent="0.2"/>
    <row r="867" ht="15" customHeight="1" x14ac:dyDescent="0.2"/>
    <row r="868" ht="15" customHeight="1" x14ac:dyDescent="0.2"/>
    <row r="869" ht="15" customHeight="1" x14ac:dyDescent="0.2"/>
    <row r="870" ht="15" customHeight="1" x14ac:dyDescent="0.2"/>
    <row r="871" ht="15" customHeight="1" x14ac:dyDescent="0.2"/>
    <row r="872" ht="15" customHeight="1" x14ac:dyDescent="0.2"/>
    <row r="873" ht="15" customHeight="1" x14ac:dyDescent="0.2"/>
    <row r="874" ht="15" customHeight="1" x14ac:dyDescent="0.2"/>
    <row r="875" ht="15" customHeight="1" x14ac:dyDescent="0.2"/>
    <row r="876" ht="15" customHeight="1" x14ac:dyDescent="0.2"/>
    <row r="877" ht="15" customHeight="1" x14ac:dyDescent="0.2"/>
    <row r="878" ht="15" customHeight="1" x14ac:dyDescent="0.2"/>
    <row r="879" ht="15" customHeight="1" x14ac:dyDescent="0.2"/>
    <row r="880" ht="15" customHeight="1" x14ac:dyDescent="0.2"/>
    <row r="881" ht="15" customHeight="1" x14ac:dyDescent="0.2"/>
    <row r="882" ht="15" customHeight="1" x14ac:dyDescent="0.2"/>
    <row r="883" ht="15" customHeight="1" x14ac:dyDescent="0.2"/>
    <row r="884" ht="15" customHeight="1" x14ac:dyDescent="0.2"/>
    <row r="885" ht="15" customHeight="1" x14ac:dyDescent="0.2"/>
    <row r="886" ht="15" customHeight="1" x14ac:dyDescent="0.2"/>
    <row r="887" ht="15" customHeight="1" x14ac:dyDescent="0.2"/>
    <row r="888" ht="15" customHeight="1" x14ac:dyDescent="0.2"/>
    <row r="889" ht="15" customHeight="1" x14ac:dyDescent="0.2"/>
    <row r="890" ht="15" customHeight="1" x14ac:dyDescent="0.2"/>
    <row r="891" ht="15" customHeight="1" x14ac:dyDescent="0.2"/>
    <row r="892" ht="15" customHeight="1" x14ac:dyDescent="0.2"/>
    <row r="893" ht="15" customHeight="1" x14ac:dyDescent="0.2"/>
    <row r="894" ht="15" customHeight="1" x14ac:dyDescent="0.2"/>
    <row r="895" ht="15" customHeight="1" x14ac:dyDescent="0.2"/>
    <row r="896" ht="15" customHeight="1" x14ac:dyDescent="0.2"/>
    <row r="897" ht="15" customHeight="1" x14ac:dyDescent="0.2"/>
    <row r="898" ht="15" customHeight="1" x14ac:dyDescent="0.2"/>
    <row r="899" ht="15" customHeight="1" x14ac:dyDescent="0.2"/>
    <row r="900" ht="15" customHeight="1" x14ac:dyDescent="0.2"/>
    <row r="901" ht="15" customHeight="1" x14ac:dyDescent="0.2"/>
    <row r="902" ht="15" customHeight="1" x14ac:dyDescent="0.2"/>
    <row r="903" ht="15" customHeight="1" x14ac:dyDescent="0.2"/>
    <row r="904" ht="15" customHeight="1" x14ac:dyDescent="0.2"/>
    <row r="905" ht="15" customHeight="1" x14ac:dyDescent="0.2"/>
    <row r="906" ht="15" customHeight="1" x14ac:dyDescent="0.2"/>
    <row r="907" ht="15" customHeight="1" x14ac:dyDescent="0.2"/>
    <row r="908" ht="15" customHeight="1" x14ac:dyDescent="0.2"/>
    <row r="909" ht="15" customHeight="1" x14ac:dyDescent="0.2"/>
    <row r="910" ht="15" customHeight="1" x14ac:dyDescent="0.2"/>
    <row r="911" ht="15" customHeight="1" x14ac:dyDescent="0.2"/>
    <row r="912" ht="15" customHeight="1" x14ac:dyDescent="0.2"/>
    <row r="913" ht="15" customHeight="1" x14ac:dyDescent="0.2"/>
    <row r="914" ht="15" customHeight="1" x14ac:dyDescent="0.2"/>
    <row r="915" ht="15" customHeight="1" x14ac:dyDescent="0.2"/>
    <row r="916" ht="15" customHeight="1" x14ac:dyDescent="0.2"/>
    <row r="917" ht="15" customHeight="1" x14ac:dyDescent="0.2"/>
    <row r="918" ht="15" customHeight="1" x14ac:dyDescent="0.2"/>
    <row r="919" ht="15" customHeight="1" x14ac:dyDescent="0.2"/>
    <row r="920" ht="15" customHeight="1" x14ac:dyDescent="0.2"/>
    <row r="921" ht="15" customHeight="1" x14ac:dyDescent="0.2"/>
    <row r="922" ht="15" customHeight="1" x14ac:dyDescent="0.2"/>
    <row r="923" ht="15" customHeight="1" x14ac:dyDescent="0.2"/>
    <row r="924" ht="15" customHeight="1" x14ac:dyDescent="0.2"/>
    <row r="925" ht="15" customHeight="1" x14ac:dyDescent="0.2"/>
    <row r="926" ht="15" customHeight="1" x14ac:dyDescent="0.2"/>
    <row r="927" ht="15" customHeight="1" x14ac:dyDescent="0.2"/>
    <row r="928" ht="15" customHeight="1" x14ac:dyDescent="0.2"/>
    <row r="929" ht="15" customHeight="1" x14ac:dyDescent="0.2"/>
    <row r="930" ht="15" customHeight="1" x14ac:dyDescent="0.2"/>
    <row r="931" ht="15" customHeight="1" x14ac:dyDescent="0.2"/>
    <row r="932" ht="15" customHeight="1" x14ac:dyDescent="0.2"/>
    <row r="933" ht="15" customHeight="1" x14ac:dyDescent="0.2"/>
    <row r="934" ht="15" customHeight="1" x14ac:dyDescent="0.2"/>
    <row r="935" ht="15" customHeight="1" x14ac:dyDescent="0.2"/>
    <row r="936" ht="15" customHeight="1" x14ac:dyDescent="0.2"/>
    <row r="937" ht="15" customHeight="1" x14ac:dyDescent="0.2"/>
    <row r="938" ht="15" customHeight="1" x14ac:dyDescent="0.2"/>
    <row r="939" ht="15" customHeight="1" x14ac:dyDescent="0.2"/>
    <row r="940" ht="15" customHeight="1" x14ac:dyDescent="0.2"/>
    <row r="941" ht="15" customHeight="1" x14ac:dyDescent="0.2"/>
    <row r="942" ht="15" customHeight="1" x14ac:dyDescent="0.2"/>
    <row r="943" ht="15" customHeight="1" x14ac:dyDescent="0.2"/>
    <row r="944" ht="15" customHeight="1" x14ac:dyDescent="0.2"/>
    <row r="945" ht="15" customHeight="1" x14ac:dyDescent="0.2"/>
    <row r="946" ht="15" customHeight="1" x14ac:dyDescent="0.2"/>
    <row r="947" ht="15" customHeight="1" x14ac:dyDescent="0.2"/>
    <row r="948" ht="15" customHeight="1" x14ac:dyDescent="0.2"/>
    <row r="949" ht="15" customHeight="1" x14ac:dyDescent="0.2"/>
    <row r="950" ht="15" customHeight="1" x14ac:dyDescent="0.2"/>
    <row r="951" ht="15" customHeight="1" x14ac:dyDescent="0.2"/>
    <row r="952" ht="15" customHeight="1" x14ac:dyDescent="0.2"/>
    <row r="953" ht="15" customHeight="1" x14ac:dyDescent="0.2"/>
    <row r="954" ht="15" customHeight="1" x14ac:dyDescent="0.2"/>
    <row r="955" ht="15" customHeight="1" x14ac:dyDescent="0.2"/>
    <row r="956" ht="15" customHeight="1" x14ac:dyDescent="0.2"/>
    <row r="957" ht="15" customHeight="1" x14ac:dyDescent="0.2"/>
    <row r="958" ht="15" customHeight="1" x14ac:dyDescent="0.2"/>
    <row r="959" ht="15" customHeight="1" x14ac:dyDescent="0.2"/>
    <row r="960" ht="15" customHeight="1" x14ac:dyDescent="0.2"/>
    <row r="961" ht="15" customHeight="1" x14ac:dyDescent="0.2"/>
    <row r="962" ht="15" customHeight="1" x14ac:dyDescent="0.2"/>
    <row r="963" ht="15" customHeight="1" x14ac:dyDescent="0.2"/>
    <row r="964" ht="15" customHeight="1" x14ac:dyDescent="0.2"/>
    <row r="965" ht="15" customHeight="1" x14ac:dyDescent="0.2"/>
    <row r="966" ht="15" customHeight="1" x14ac:dyDescent="0.2"/>
    <row r="967" ht="15" customHeight="1" x14ac:dyDescent="0.2"/>
    <row r="968" ht="15" customHeight="1" x14ac:dyDescent="0.2"/>
    <row r="969" ht="15" customHeight="1" x14ac:dyDescent="0.2"/>
    <row r="970" ht="15" customHeight="1" x14ac:dyDescent="0.2"/>
    <row r="971" ht="15" customHeight="1" x14ac:dyDescent="0.2"/>
    <row r="972" ht="15" customHeight="1" x14ac:dyDescent="0.2"/>
    <row r="973" ht="15" customHeight="1" x14ac:dyDescent="0.2"/>
    <row r="974" ht="15" customHeight="1" x14ac:dyDescent="0.2"/>
    <row r="975" ht="15" customHeight="1" x14ac:dyDescent="0.2"/>
    <row r="976" ht="15" customHeight="1" x14ac:dyDescent="0.2"/>
    <row r="977" ht="15" customHeight="1" x14ac:dyDescent="0.2"/>
    <row r="978" ht="15" customHeight="1" x14ac:dyDescent="0.2"/>
    <row r="979" ht="15" customHeight="1" x14ac:dyDescent="0.2"/>
    <row r="980" ht="15" customHeight="1" x14ac:dyDescent="0.2"/>
    <row r="981" ht="15" customHeight="1" x14ac:dyDescent="0.2"/>
    <row r="982" ht="15" customHeight="1" x14ac:dyDescent="0.2"/>
    <row r="983" ht="15" customHeight="1" x14ac:dyDescent="0.2"/>
    <row r="984" ht="15" customHeight="1" x14ac:dyDescent="0.2"/>
    <row r="985" ht="15" customHeight="1" x14ac:dyDescent="0.2"/>
    <row r="986" ht="15" customHeight="1" x14ac:dyDescent="0.2"/>
    <row r="987" ht="15" customHeight="1" x14ac:dyDescent="0.2"/>
    <row r="988" ht="15" customHeight="1" x14ac:dyDescent="0.2"/>
    <row r="989" ht="15" customHeight="1" x14ac:dyDescent="0.2"/>
    <row r="990" ht="15" customHeight="1" x14ac:dyDescent="0.2"/>
    <row r="991" ht="15" customHeight="1" x14ac:dyDescent="0.2"/>
    <row r="992" ht="15" customHeight="1" x14ac:dyDescent="0.2"/>
    <row r="993" ht="15" customHeight="1" x14ac:dyDescent="0.2"/>
    <row r="994" ht="15" customHeight="1" x14ac:dyDescent="0.2"/>
    <row r="995" ht="15" customHeight="1" x14ac:dyDescent="0.2"/>
    <row r="996" ht="15" customHeight="1" x14ac:dyDescent="0.2"/>
    <row r="997" ht="15" customHeight="1" x14ac:dyDescent="0.2"/>
    <row r="998" ht="15" customHeight="1" x14ac:dyDescent="0.2"/>
    <row r="999" ht="15" customHeight="1" x14ac:dyDescent="0.2"/>
    <row r="1000" ht="15" customHeight="1" x14ac:dyDescent="0.2"/>
    <row r="1001" ht="15" customHeight="1" x14ac:dyDescent="0.2"/>
    <row r="1002" ht="15" customHeight="1" x14ac:dyDescent="0.2"/>
    <row r="1003" ht="15" customHeight="1" x14ac:dyDescent="0.2"/>
    <row r="1004" ht="15" customHeight="1" x14ac:dyDescent="0.2"/>
    <row r="1005" ht="15" customHeight="1" x14ac:dyDescent="0.2"/>
    <row r="1006" ht="15" customHeight="1" x14ac:dyDescent="0.2"/>
    <row r="1007" ht="15" customHeight="1" x14ac:dyDescent="0.2"/>
    <row r="1008" ht="15" customHeight="1" x14ac:dyDescent="0.2"/>
    <row r="1009" ht="15" customHeight="1" x14ac:dyDescent="0.2"/>
    <row r="1010" ht="15" customHeight="1" x14ac:dyDescent="0.2"/>
    <row r="1011" ht="15" customHeight="1" x14ac:dyDescent="0.2"/>
    <row r="1012" ht="15" customHeight="1" x14ac:dyDescent="0.2"/>
    <row r="1013" ht="15" customHeight="1" x14ac:dyDescent="0.2"/>
    <row r="1014" ht="15" customHeight="1" x14ac:dyDescent="0.2"/>
  </sheetData>
  <mergeCells count="3">
    <mergeCell ref="I6:Q6"/>
    <mergeCell ref="B4:D4"/>
    <mergeCell ref="B5:D5"/>
  </mergeCells>
  <pageMargins left="0.511811024" right="0.511811024" top="0.78740157499999996" bottom="0.78740157499999996" header="0.31496062000000002" footer="0.31496062000000002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DA532-0F84-DB47-960C-4337961BF274}">
  <dimension ref="B2:X1012"/>
  <sheetViews>
    <sheetView workbookViewId="0">
      <selection activeCell="F21" sqref="F21"/>
    </sheetView>
  </sheetViews>
  <sheetFormatPr baseColWidth="10" defaultColWidth="12.6640625" defaultRowHeight="16" x14ac:dyDescent="0.2"/>
  <cols>
    <col min="1" max="1" width="7.6640625" customWidth="1"/>
    <col min="2" max="2" width="64.5" customWidth="1"/>
    <col min="3" max="3" width="19.33203125" customWidth="1"/>
    <col min="4" max="5" width="7.6640625" customWidth="1"/>
    <col min="8" max="8" width="34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7" customWidth="1"/>
    <col min="20" max="20" width="15" customWidth="1"/>
    <col min="21" max="21" width="15" customWidth="1"/>
    <col min="22" max="22" width="17" customWidth="1"/>
    <col min="23" max="23" width="15" customWidth="1"/>
    <col min="24" max="24" width="17" customWidth="1"/>
  </cols>
  <sheetData>
    <row r="1" ht="16" customHeight="1"/>
    <row r="2" spans="2:24" ht="15" customHeight="1" x14ac:dyDescent="0.2"/>
    <row r="3" spans="2:24" hidden="1" x14ac:dyDescent="0.2" ht="16" customHeight="1">
      <c r="H3" t="inlineStr">
        <is>
          <t xml:space="preserve">Exercício 3 · Agrometal Oeste Ltda. · Custeio pela margem de contribuição</t>
        </is>
      </c>
    </row>
    <row r="4" spans="2:24" ht="46" customHeight="1" thickBot="1" x14ac:dyDescent="0.25"/>
    <row r="5" spans="2:24" ht="17" thickTop="1" x14ac:dyDescent="0.2">
      <c r="H5" s="66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8"/>
    </row>
    <row r="6" spans="2:24" ht="18" x14ac:dyDescent="0.2">
      <c r="B6" s="150"/>
      <c r="C6" s="151"/>
      <c r="D6" s="151"/>
      <c r="H6" s="69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1"/>
    </row>
    <row r="7" spans="2:24" ht="17" thickBot="1" x14ac:dyDescent="0.25">
      <c r="B7" s="152"/>
      <c r="C7" s="153"/>
      <c r="D7" s="153"/>
      <c r="H7" s="7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73"/>
    </row>
    <row r="8" spans="2:24" ht="18" thickTop="1" thickBot="1" x14ac:dyDescent="0.25">
      <c r="B8" s="62" t="s">
        <v>19</v>
      </c>
      <c r="C8" s="37" t="s">
        <v>20</v>
      </c>
      <c r="D8" s="37" t="s">
        <v>14</v>
      </c>
      <c r="E8" s="76"/>
      <c r="F8" s="76"/>
      <c r="G8" s="76"/>
      <c r="H8" s="165" t="s">
        <v>0</v>
      </c>
      <c r="I8" s="167" t="s">
        <v>18</v>
      </c>
      <c r="J8" s="169" t="s">
        <v>1</v>
      </c>
      <c r="K8" s="160" t="s">
        <v>2</v>
      </c>
      <c r="L8" s="161"/>
      <c r="M8" s="162"/>
      <c r="N8" s="160" t="s">
        <v>3</v>
      </c>
      <c r="O8" s="162"/>
      <c r="P8" s="163" t="s">
        <v>4</v>
      </c>
      <c r="Q8" s="160" t="s">
        <v>5</v>
      </c>
      <c r="R8" s="162"/>
      <c r="S8" s="161" t="s">
        <v>6</v>
      </c>
      <c r="T8" s="161"/>
      <c r="U8" s="154" t="s">
        <v>7</v>
      </c>
      <c r="V8" s="156" t="s">
        <v>8</v>
      </c>
      <c r="W8" s="154" t="s">
        <v>9</v>
      </c>
      <c r="X8" s="158" t="s">
        <v>10</v>
      </c>
    </row>
    <row r="9" spans="2:24" ht="17" thickBot="1" x14ac:dyDescent="0.25">
      <c r="B9" s="105"/>
      <c r="C9" s="76"/>
      <c r="D9" s="76"/>
      <c r="E9" s="76"/>
      <c r="F9" s="76"/>
      <c r="G9" s="76"/>
      <c r="H9" s="166"/>
      <c r="I9" s="168"/>
      <c r="J9" s="170"/>
      <c r="K9" s="94" t="s">
        <v>11</v>
      </c>
      <c r="L9" s="95" t="s">
        <v>12</v>
      </c>
      <c r="M9" s="96" t="s">
        <v>13</v>
      </c>
      <c r="N9" s="97" t="s">
        <v>14</v>
      </c>
      <c r="O9" s="98" t="s">
        <v>15</v>
      </c>
      <c r="P9" s="164"/>
      <c r="Q9" s="99" t="s">
        <v>15</v>
      </c>
      <c r="R9" s="100" t="s">
        <v>14</v>
      </c>
      <c r="S9" s="101" t="s">
        <v>15</v>
      </c>
      <c r="T9" s="102" t="s">
        <v>14</v>
      </c>
      <c r="U9" s="155"/>
      <c r="V9" s="157"/>
      <c r="W9" s="155"/>
      <c r="X9" s="159"/>
    </row>
    <row r="10" spans="2:24" ht="18" thickTop="1" thickBot="1" x14ac:dyDescent="0.25">
      <c r="B10" s="103" t="s">
        <v>21</v>
      </c>
      <c r="C10" s="177">
        <v>12950000</v>
      </c>
      <c r="D10" s="172">
        <f>C10/$C$10</f>
        <v>1.0</v>
      </c>
      <c r="E10" s="76"/>
      <c r="F10" s="76"/>
      <c r="G10" s="76"/>
      <c r="H10" s="38" t="inlineStr">
        <is>
          <t xml:space="preserve">A · Pulverizador 2.000 L</t>
        </is>
      </c>
      <c r="I10" s="184">
        <v>40</v>
      </c>
      <c r="J10" s="185">
        <v>120000</v>
      </c>
      <c r="K10" s="186">
        <v>48000</v>
      </c>
      <c r="L10" s="187">
        <f>($C$20-$C$21)/$C$10</f>
        <v>0.07</v>
      </c>
      <c r="M10" s="188">
        <f>J10*L10</f>
        <v>8400.0</v>
      </c>
      <c r="N10" s="189">
        <f>$C$12/$C$10</f>
        <v>0.2</v>
      </c>
      <c r="O10" s="190">
        <f>J10*N10</f>
        <v>24000.0</v>
      </c>
      <c r="P10" s="191">
        <f>K10+M10+O10</f>
        <v>80400.0</v>
      </c>
      <c r="Q10" s="192">
        <f>J10-P10</f>
        <v>39600.0</v>
      </c>
      <c r="R10" s="193">
        <f>Q10/J10</f>
        <v>0.33</v>
      </c>
      <c r="S10" s="192">
        <f>Q10*I10</f>
        <v>1584000.0</v>
      </c>
      <c r="T10" s="193">
        <f>S10/$S$17</f>
        <v>0.382747372236318</v>
      </c>
      <c r="U10" s="194">
        <f>$C$35*T10/I10</f>
        <v>32342.1529539688</v>
      </c>
      <c r="V10" s="195">
        <f>(K10+U10)/(1-(L10+N10))</f>
        <v>110057.74377256</v>
      </c>
      <c r="W10" s="196">
        <v>0.15</v>
      </c>
      <c r="X10" s="197">
        <f>(K10+U10)/(1-(L10+N10+W10))</f>
        <v>138520.953368912</v>
      </c>
    </row>
    <row r="11" spans="2:24" ht="17" thickBot="1" x14ac:dyDescent="0.25">
      <c r="B11" s="77"/>
      <c r="C11" s="78"/>
      <c r="D11" s="79"/>
      <c r="E11" s="76"/>
      <c r="F11" s="76"/>
      <c r="G11" s="76"/>
      <c r="H11" s="38" t="inlineStr">
        <is>
          <t xml:space="preserve">B · Plantadeira 9 linhas</t>
        </is>
      </c>
      <c r="I11" s="184">
        <v>25</v>
      </c>
      <c r="J11" s="185">
        <v>230000</v>
      </c>
      <c r="K11" s="186">
        <v>95000</v>
      </c>
      <c r="L11" s="187">
        <f>($C$20-$C$21)/$C$10</f>
        <v>0.07</v>
      </c>
      <c r="M11" s="188">
        <f>J11*L11</f>
        <v>16100.0</v>
      </c>
      <c r="N11" s="189">
        <f>$C$12/$C$10</f>
        <v>0.2</v>
      </c>
      <c r="O11" s="190">
        <f>J11*N11</f>
        <v>46000.0</v>
      </c>
      <c r="P11" s="191">
        <f>K11+M11+O11</f>
        <v>157100.0</v>
      </c>
      <c r="Q11" s="192">
        <f>J11-P11</f>
        <v>72900.0</v>
      </c>
      <c r="R11" s="193">
        <f>Q11/J11</f>
        <v>0.31695652173913</v>
      </c>
      <c r="S11" s="192">
        <f>Q11*I11</f>
        <v>1822500.0</v>
      </c>
      <c r="T11" s="193">
        <f>S11/$S$17</f>
        <v>0.440376948169627</v>
      </c>
      <c r="U11" s="194">
        <f>$C$35*T11/I11</f>
        <v>59538.9633925335</v>
      </c>
      <c r="V11" s="195">
        <f>(K11+U11)/(1-(L11+N11))</f>
        <v>211697.210126758</v>
      </c>
      <c r="W11" s="196">
        <v>0.18</v>
      </c>
      <c r="X11" s="197">
        <f>(K11+U11)/(1-(L11+N11+W11))</f>
        <v>280979.93344097</v>
      </c>
    </row>
    <row r="12" spans="2:24" ht="17" thickBot="1" x14ac:dyDescent="0.25">
      <c r="B12" s="118"/>
      <c r="C12" s="177">
        <f>SUM(C13:C19)</f>
        <v>2590000.0</v>
      </c>
      <c r="D12" s="173">
        <f>C12/$C$10</f>
        <v>0.2</v>
      </c>
      <c r="E12" s="76"/>
      <c r="F12" s="76"/>
      <c r="G12" s="76"/>
      <c r="H12" s="38" t="inlineStr">
        <is>
          <t xml:space="preserve">C · Carreta agrícola 6 t</t>
        </is>
      </c>
      <c r="I12" s="184">
        <v>60</v>
      </c>
      <c r="J12" s="185">
        <v>40000</v>
      </c>
      <c r="K12" s="186">
        <v>17000</v>
      </c>
      <c r="L12" s="187">
        <f>($C$20-$C$21)/$C$10</f>
        <v>0.07</v>
      </c>
      <c r="M12" s="188">
        <f>J12*L12</f>
        <v>2800.0</v>
      </c>
      <c r="N12" s="189">
        <f>$C$12/$C$10</f>
        <v>0.2</v>
      </c>
      <c r="O12" s="190">
        <f>J12*N12</f>
        <v>8000.0</v>
      </c>
      <c r="P12" s="191">
        <f>K12+M12+O12</f>
        <v>27800.0</v>
      </c>
      <c r="Q12" s="192">
        <f>J12-P12</f>
        <v>12200.0</v>
      </c>
      <c r="R12" s="193">
        <f>Q12/J12</f>
        <v>0.305</v>
      </c>
      <c r="S12" s="192">
        <f>Q12*I12</f>
        <v>732000.0</v>
      </c>
      <c r="T12" s="193">
        <f>S12/$S$17</f>
        <v>0.176875679594056</v>
      </c>
      <c r="U12" s="194">
        <f>$C$35*T12/I12</f>
        <v>9963.99661713181</v>
      </c>
      <c r="V12" s="195">
        <f>(K12+U12)/(1-(L12+N12))</f>
        <v>36936.9816673039</v>
      </c>
      <c r="W12" s="196">
        <v>0.1</v>
      </c>
      <c r="X12" s="197">
        <f>(K12+U12)/(1-(L12+N12+W12))</f>
        <v>42799.9946303679</v>
      </c>
    </row>
    <row r="13" spans="2:24" x14ac:dyDescent="0.2" ht="16" customHeight="1">
      <c r="B13" s="81" t="inlineStr">
        <is>
          <t xml:space="preserve">Comissão das revendas</t>
        </is>
      </c>
      <c r="C13" s="180">
        <v>647500</v>
      </c>
      <c r="D13" s="175">
        <f>C13/$C$10</f>
        <v>0.05</v>
      </c>
      <c r="E13" s="76"/>
      <c r="F13" s="76"/>
      <c r="G13" s="76"/>
      <c r="H13" s="40"/>
      <c r="I13" s="14"/>
      <c r="J13" s="15"/>
      <c r="K13" s="16"/>
      <c r="L13" s="17"/>
      <c r="M13" s="18"/>
      <c r="N13" s="19"/>
      <c r="O13" s="20"/>
      <c r="P13" s="21"/>
      <c r="Q13" s="22"/>
      <c r="R13" s="23"/>
      <c r="S13" s="22"/>
      <c r="T13" s="23"/>
      <c r="U13" s="24"/>
      <c r="V13" s="24"/>
      <c r="W13" s="24"/>
      <c r="X13" s="41"/>
    </row>
    <row r="14" spans="2:24" x14ac:dyDescent="0.2" ht="16" customHeight="1">
      <c r="B14" s="81" t="inlineStr">
        <is>
          <t xml:space="preserve">Despesas com publicidade proporcional às vendas (feiras)</t>
        </is>
      </c>
      <c r="C14" s="180">
        <v>129500</v>
      </c>
      <c r="D14" s="175">
        <f>C14/$C$10</f>
        <v>0.01</v>
      </c>
      <c r="E14" s="76"/>
      <c r="F14" s="76"/>
      <c r="G14" s="76"/>
      <c r="H14" s="40"/>
      <c r="I14" s="14"/>
      <c r="J14" s="15"/>
      <c r="K14" s="16"/>
      <c r="L14" s="17"/>
      <c r="M14" s="18"/>
      <c r="N14" s="19"/>
      <c r="O14" s="20"/>
      <c r="P14" s="21" t="s">
        <v>16</v>
      </c>
      <c r="Q14" s="22"/>
      <c r="R14" s="23"/>
      <c r="S14" s="22"/>
      <c r="T14" s="23"/>
      <c r="U14" s="24"/>
      <c r="V14" s="24"/>
      <c r="W14" s="24"/>
      <c r="X14" s="41"/>
    </row>
    <row r="15" spans="2:24" x14ac:dyDescent="0.2" ht="16" customHeight="1">
      <c r="B15" s="81" t="inlineStr">
        <is>
          <t xml:space="preserve">Frete de entrega</t>
        </is>
      </c>
      <c r="C15" s="180">
        <v>259000</v>
      </c>
      <c r="D15" s="175">
        <f>C15/$C$10</f>
        <v>0.02</v>
      </c>
      <c r="E15" s="76"/>
      <c r="F15" s="76"/>
      <c r="G15" s="76"/>
      <c r="H15" s="42"/>
      <c r="I15" s="25"/>
      <c r="J15" s="26"/>
      <c r="K15" s="27"/>
      <c r="L15" s="28"/>
      <c r="M15" s="29" t="s">
        <v>16</v>
      </c>
      <c r="N15" s="30"/>
      <c r="O15" s="31"/>
      <c r="P15" s="32"/>
      <c r="Q15" s="33"/>
      <c r="R15" s="29"/>
      <c r="S15" s="33"/>
      <c r="T15" s="29"/>
      <c r="U15" s="34"/>
      <c r="V15" s="34"/>
      <c r="W15" s="34"/>
      <c r="X15" s="43"/>
    </row>
    <row r="16" spans="2:24" ht="17" thickBot="1" x14ac:dyDescent="0.25">
      <c r="B16" s="81" t="inlineStr">
        <is>
          <t xml:space="preserve">Impostos sobre as vendas</t>
        </is>
      </c>
      <c r="C16" s="180">
        <v>1554000</v>
      </c>
      <c r="D16" s="175">
        <f>C16/$C$10</f>
        <v>0.12</v>
      </c>
      <c r="E16" s="76"/>
      <c r="F16" s="76"/>
      <c r="G16" s="76"/>
      <c r="H16" s="44"/>
      <c r="I16" s="45"/>
      <c r="J16" s="45"/>
      <c r="K16" s="46"/>
      <c r="L16" s="47" t="s">
        <v>16</v>
      </c>
      <c r="M16" s="48"/>
      <c r="N16" s="49"/>
      <c r="O16" s="50"/>
      <c r="P16" s="51"/>
      <c r="Q16" s="52"/>
      <c r="R16" s="48"/>
      <c r="S16" s="52"/>
      <c r="T16" s="48"/>
      <c r="U16" s="45"/>
      <c r="V16" s="45"/>
      <c r="W16" s="45"/>
      <c r="X16" s="53"/>
    </row>
    <row r="17" spans="2:24" ht="18" thickTop="1" thickBot="1" x14ac:dyDescent="0.25">
      <c r="B17" s="81"/>
      <c r="C17" s="82"/>
      <c r="D17" s="83"/>
      <c r="E17" s="76"/>
      <c r="F17" s="76"/>
      <c r="G17" s="76"/>
      <c r="H17" s="1"/>
      <c r="I17" s="1"/>
      <c r="J17" s="1"/>
      <c r="K17" s="1"/>
      <c r="L17" s="1"/>
      <c r="M17" s="1"/>
      <c r="N17" s="1"/>
      <c r="O17" s="1"/>
      <c r="P17" s="1"/>
      <c r="Q17" s="1"/>
      <c r="R17" s="35" t="s">
        <v>17</v>
      </c>
      <c r="S17" s="198">
        <f>SUM(S10:S16)</f>
        <v>4138500.0</v>
      </c>
      <c r="T17" s="199">
        <f>SUM(T10:T16)</f>
        <v>1.0</v>
      </c>
      <c r="U17" s="1"/>
      <c r="V17" s="1"/>
      <c r="W17" s="1"/>
      <c r="X17" s="1"/>
    </row>
    <row r="18" spans="2:24" ht="17" thickTop="1" x14ac:dyDescent="0.2">
      <c r="B18" s="84"/>
      <c r="C18" s="85"/>
      <c r="D18" s="83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</row>
    <row r="19" spans="2:24" ht="17" thickBot="1" x14ac:dyDescent="0.25">
      <c r="B19" s="84"/>
      <c r="C19" s="85"/>
      <c r="D19" s="83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</row>
    <row r="20" spans="2:24" ht="17" thickBot="1" x14ac:dyDescent="0.25">
      <c r="B20" s="119"/>
      <c r="C20" s="177">
        <f>SUM(C21:C30)</f>
        <v>6221500.0</v>
      </c>
      <c r="D20" s="173">
        <f>C20/$C$10</f>
        <v>0.48042471042471</v>
      </c>
      <c r="E20" s="76"/>
      <c r="F20" s="76"/>
      <c r="G20" s="76"/>
      <c r="H20" s="76" t="inlineStr">
        <is>
          <t xml:space="preserve">Conferência: Σ MC total dos produtos − MC do DRE (deve ser 0)</t>
        </is>
      </c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200">
        <f>S17-C33</f>
        <v>0.0</v>
      </c>
      <c r="T20" s="76"/>
      <c r="U20" s="76"/>
      <c r="V20" s="76"/>
      <c r="W20" s="76"/>
      <c r="X20" s="76"/>
    </row>
    <row r="21" spans="2:24" x14ac:dyDescent="0.2" ht="16" customHeight="1">
      <c r="B21" s="81" t="inlineStr">
        <is>
          <t xml:space="preserve">Matéria-prima (aço, componentes hidráulicos, pneus)</t>
        </is>
      </c>
      <c r="C21" s="180">
        <v>5315000</v>
      </c>
      <c r="D21" s="175">
        <f>C21/$C$10</f>
        <v>0.41042471042471</v>
      </c>
      <c r="E21" s="76"/>
      <c r="F21" s="76"/>
      <c r="G21" s="76"/>
      <c r="H21" s="76" t="inlineStr">
        <is>
          <t xml:space="preserve">Conferência: Σ vendas × preço − receita (deve ser 0)</t>
        </is>
      </c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200">
        <f>SUMPRODUCT(I10:I16,J10:J16)-C10</f>
        <v>0.0</v>
      </c>
      <c r="T21" s="76"/>
      <c r="U21" s="76"/>
      <c r="V21" s="76"/>
      <c r="W21" s="76"/>
      <c r="X21" s="76"/>
    </row>
    <row r="22" spans="2:24" x14ac:dyDescent="0.2" ht="16" customHeight="1">
      <c r="B22" s="81" t="inlineStr">
        <is>
          <t xml:space="preserve">Energia elétrica da fábrica</t>
        </is>
      </c>
      <c r="C22" s="180">
        <v>259000</v>
      </c>
      <c r="D22" s="175">
        <f>C22/$C$10</f>
        <v>0.02</v>
      </c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</row>
    <row r="23" spans="2:24" x14ac:dyDescent="0.2" ht="16" customHeight="1">
      <c r="B23" s="81" t="inlineStr">
        <is>
          <t xml:space="preserve">Fretes sobre compras de aço</t>
        </is>
      </c>
      <c r="C23" s="181">
        <v>129500</v>
      </c>
      <c r="D23" s="175">
        <f>C23/$C$10</f>
        <v>0.01</v>
      </c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</row>
    <row r="24" spans="2:24" x14ac:dyDescent="0.2" ht="16" customHeight="1">
      <c r="B24" s="81" t="inlineStr">
        <is>
          <t xml:space="preserve">Gastos gerais com fabricação do produto (eletrodos, tintas)</t>
        </is>
      </c>
      <c r="C24" s="182">
        <v>388500</v>
      </c>
      <c r="D24" s="176">
        <f>C24/$C$10</f>
        <v>0.03</v>
      </c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</row>
    <row r="25" spans="2:24" x14ac:dyDescent="0.2" ht="16" customHeight="1">
      <c r="B25" s="81" t="inlineStr">
        <is>
          <t xml:space="preserve">Manutenção de máquinas e equipamentos da produção</t>
        </is>
      </c>
      <c r="C25" s="182">
        <v>129500</v>
      </c>
      <c r="D25" s="176">
        <f>C25/$C$10</f>
        <v>0.01</v>
      </c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</row>
    <row r="26" spans="2:24" x14ac:dyDescent="0.2" ht="16" customHeight="1">
      <c r="B26" s="125"/>
      <c r="C26" s="124"/>
      <c r="D26" s="120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</row>
    <row r="27" spans="2:24" x14ac:dyDescent="0.2" ht="16" customHeight="1">
      <c r="B27" s="81"/>
      <c r="C27" s="82"/>
      <c r="D27" s="8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</row>
    <row r="28" spans="2:24" x14ac:dyDescent="0.2" ht="16" customHeight="1">
      <c r="B28" s="84"/>
      <c r="C28" s="85"/>
      <c r="D28" s="8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</row>
    <row r="29" spans="2:24" ht="15.75" customHeight="1" x14ac:dyDescent="0.2">
      <c r="B29" s="84"/>
      <c r="C29" s="85"/>
      <c r="D29" s="8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</row>
    <row r="30" spans="2:24" ht="15.75" customHeight="1" thickBot="1" x14ac:dyDescent="0.25">
      <c r="B30" s="84"/>
      <c r="C30" s="87"/>
      <c r="D30" s="83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</row>
    <row r="31" spans="2:24" ht="15.75" customHeight="1" thickBot="1" x14ac:dyDescent="0.25">
      <c r="B31" s="119"/>
      <c r="C31" s="177">
        <f>C12+C20</f>
        <v>8811500.0</v>
      </c>
      <c r="D31" s="173">
        <f>C31/$C$10</f>
        <v>0.68042471042471</v>
      </c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</row>
    <row r="32" spans="2:24" ht="15.75" customHeight="1" thickBot="1" x14ac:dyDescent="0.25">
      <c r="B32" s="88"/>
      <c r="C32" s="87"/>
      <c r="D32" s="89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</row>
    <row r="33" spans="2:24" ht="15.75" customHeight="1" thickBot="1" x14ac:dyDescent="0.25">
      <c r="B33" s="119"/>
      <c r="C33" s="177">
        <f>C10-C31</f>
        <v>4138500.0</v>
      </c>
      <c r="D33" s="173">
        <f>C33/$C$10</f>
        <v>0.31957528957529</v>
      </c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</row>
    <row r="34" spans="2:24" ht="15.75" customHeight="1" thickBot="1" x14ac:dyDescent="0.25">
      <c r="B34" s="77"/>
      <c r="C34" s="78"/>
      <c r="D34" s="79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</row>
    <row r="35" spans="2:24" ht="15.75" customHeight="1" thickBot="1" x14ac:dyDescent="0.25">
      <c r="B35" s="119"/>
      <c r="C35" s="178">
        <f>SUM(C36:C47)</f>
        <v>3380000.0</v>
      </c>
      <c r="D35" s="173">
        <f>C35/$C$10</f>
        <v>0.261003861003861</v>
      </c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</row>
    <row r="36" spans="2:24" ht="15.75" customHeight="1" x14ac:dyDescent="0.2">
      <c r="B36" s="84" t="inlineStr">
        <is>
          <t xml:space="preserve">Água utilizada na administração</t>
        </is>
      </c>
      <c r="C36" s="183">
        <v>6000</v>
      </c>
      <c r="D36" s="175">
        <f>C36/$C$10</f>
        <v>0.000463320463320463</v>
      </c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</row>
    <row r="37" spans="2:24" ht="15.75" customHeight="1" x14ac:dyDescent="0.2">
      <c r="B37" s="84" t="inlineStr">
        <is>
          <t xml:space="preserve">Aluguel do pátio de expedição</t>
        </is>
      </c>
      <c r="C37" s="183">
        <v>200000</v>
      </c>
      <c r="D37" s="175">
        <f>C37/$C$10</f>
        <v>0.0154440154440154</v>
      </c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</row>
    <row r="38" spans="2:24" ht="15.75" customHeight="1" x14ac:dyDescent="0.2">
      <c r="B38" s="84" t="inlineStr">
        <is>
          <t xml:space="preserve">Depreciação de equipamentos</t>
        </is>
      </c>
      <c r="C38" s="183">
        <v>420000</v>
      </c>
      <c r="D38" s="175">
        <f>C38/$C$10</f>
        <v>0.0324324324324324</v>
      </c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</row>
    <row r="39" spans="2:24" ht="15.75" customHeight="1" x14ac:dyDescent="0.2">
      <c r="B39" s="84" t="inlineStr">
        <is>
          <t xml:space="preserve">Honorários contábeis</t>
        </is>
      </c>
      <c r="C39" s="183">
        <v>28000</v>
      </c>
      <c r="D39" s="175">
        <f>C39/$C$10</f>
        <v>0.00216216216216216</v>
      </c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</row>
    <row r="40" spans="2:24" ht="15.75" customHeight="1" x14ac:dyDescent="0.2">
      <c r="B40" s="84" t="inlineStr">
        <is>
          <t xml:space="preserve">Manutenção de equipamentos de escritório</t>
        </is>
      </c>
      <c r="C40" s="183">
        <v>12000</v>
      </c>
      <c r="D40" s="175">
        <f>C40/$C$10</f>
        <v>0.000926640926640927</v>
      </c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</row>
    <row r="41" spans="2:24" ht="15.75" customHeight="1" x14ac:dyDescent="0.2">
      <c r="B41" s="84" t="inlineStr">
        <is>
          <t xml:space="preserve">Material de limpeza</t>
        </is>
      </c>
      <c r="C41" s="183">
        <v>9000</v>
      </c>
      <c r="D41" s="175">
        <f>C41/$C$10</f>
        <v>0.000694980694980695</v>
      </c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</row>
    <row r="42" spans="2:24" ht="15.75" customHeight="1" x14ac:dyDescent="0.2">
      <c r="B42" s="84" t="inlineStr">
        <is>
          <t xml:space="preserve">Pró-labore</t>
        </is>
      </c>
      <c r="C42" s="183">
        <v>150000</v>
      </c>
      <c r="D42" s="175">
        <f>C42/$C$10</f>
        <v>0.0115830115830116</v>
      </c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</row>
    <row r="43" spans="2:24" ht="15.75" customHeight="1" x14ac:dyDescent="0.2">
      <c r="B43" s="84" t="inlineStr">
        <is>
          <t xml:space="preserve">Salários</t>
        </is>
      </c>
      <c r="C43" s="183">
        <v>2300000</v>
      </c>
      <c r="D43" s="175">
        <f>C43/$C$10</f>
        <v>0.177606177606178</v>
      </c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</row>
    <row r="44" spans="2:24" ht="15.75" customHeight="1" x14ac:dyDescent="0.2">
      <c r="B44" s="84" t="inlineStr">
        <is>
          <t xml:space="preserve">Seguros</t>
        </is>
      </c>
      <c r="C44" s="183">
        <v>60000</v>
      </c>
      <c r="D44" s="175">
        <f>C44/$C$10</f>
        <v>0.00463320463320463</v>
      </c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</row>
    <row r="45" spans="2:24" ht="15.75" customHeight="1" thickBot="1" x14ac:dyDescent="0.25">
      <c r="B45" s="84" t="inlineStr">
        <is>
          <t xml:space="preserve">Suprimentos para escritório</t>
        </is>
      </c>
      <c r="C45" s="183">
        <v>15000</v>
      </c>
      <c r="D45" s="175">
        <f>C45/$C$10</f>
        <v>0.00115830115830116</v>
      </c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</row>
    <row r="46" spans="2:24" ht="15.75" customHeight="1" thickBot="1" x14ac:dyDescent="0.25">
      <c r="B46" s="84" t="inlineStr">
        <is>
          <t xml:space="preserve">Telefone e internet</t>
        </is>
      </c>
      <c r="C46" s="183">
        <v>20000</v>
      </c>
      <c r="D46" s="175">
        <f>C46/$C$10</f>
        <v>0.00154440154440154</v>
      </c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</row>
    <row r="47" spans="2:24" ht="15.75" customHeight="1" thickBot="1" x14ac:dyDescent="0.25">
      <c r="B47" s="84" t="inlineStr">
        <is>
          <t xml:space="preserve">Vale-refeição</t>
        </is>
      </c>
      <c r="C47" s="183">
        <v>160000</v>
      </c>
      <c r="D47" s="175">
        <f>C47/$C$10</f>
        <v>0.0123552123552124</v>
      </c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</row>
    <row r="48" spans="2:24" ht="15.75" customHeight="1" thickBot="1" x14ac:dyDescent="0.25">
      <c r="B48" s="119"/>
      <c r="C48" s="179">
        <f>C33-C35</f>
        <v>758500.0</v>
      </c>
      <c r="D48" s="174">
        <f>C48/$C$10</f>
        <v>0.0585714285714286</v>
      </c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</row>
    <row r="49" spans="2:24" ht="15.75" customHeight="1" x14ac:dyDescent="0.2"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</row>
    <row r="50" spans="2:24" ht="15.75" customHeight="1" x14ac:dyDescent="0.2"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</row>
    <row r="51" spans="5:24" ht="15.75" customHeight="1" x14ac:dyDescent="0.2"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</row>
    <row r="52" spans="5:24" ht="15.75" customHeight="1" x14ac:dyDescent="0.2"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</row>
    <row r="53" spans="5:24" ht="15.75" customHeight="1" x14ac:dyDescent="0.2"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</row>
    <row r="54" spans="5:24" ht="15.75" customHeight="1" x14ac:dyDescent="0.2"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</row>
    <row r="55" spans="5:24" ht="15.75" customHeight="1" x14ac:dyDescent="0.2"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</row>
    <row r="56" spans="5:24" ht="15.75" customHeight="1" x14ac:dyDescent="0.2"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</row>
    <row r="57" spans="5:24" ht="15.75" customHeight="1" x14ac:dyDescent="0.2"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</row>
    <row r="58" spans="5:24" ht="15.75" customHeight="1" x14ac:dyDescent="0.2"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</row>
    <row r="59" spans="5:24" ht="15.75" customHeight="1" x14ac:dyDescent="0.2"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</row>
    <row r="60" spans="5:24" ht="15.75" customHeight="1" x14ac:dyDescent="0.2"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</row>
    <row r="61" spans="5:24" ht="15.75" customHeight="1" x14ac:dyDescent="0.2"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</row>
    <row r="62" spans="5:24" ht="15.75" customHeight="1" x14ac:dyDescent="0.2"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</row>
    <row r="63" spans="5:24" ht="15.75" customHeight="1" x14ac:dyDescent="0.2"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</row>
    <row r="64" spans="5:24" ht="15.75" customHeight="1" x14ac:dyDescent="0.2"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</row>
    <row r="65" spans="5:24" ht="15.75" customHeight="1" x14ac:dyDescent="0.2"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</row>
    <row r="66" spans="5:24" ht="15.75" customHeight="1" x14ac:dyDescent="0.2"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</row>
    <row r="67" spans="5:24" ht="15.75" customHeight="1" x14ac:dyDescent="0.2"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</row>
    <row r="68" spans="5:24" ht="15.75" customHeight="1" x14ac:dyDescent="0.2"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</row>
    <row r="69" spans="5:24" ht="15.75" customHeight="1" x14ac:dyDescent="0.2"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</row>
    <row r="70" spans="5:24" ht="15.75" customHeight="1" x14ac:dyDescent="0.2"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</row>
    <row r="71" spans="5:24" ht="15.75" customHeight="1" x14ac:dyDescent="0.2"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</row>
    <row r="72" spans="5:24" ht="15.75" customHeight="1" x14ac:dyDescent="0.2"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</row>
    <row r="73" spans="5:24" ht="15.75" customHeight="1" x14ac:dyDescent="0.2"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</row>
    <row r="74" spans="5:24" ht="15.75" customHeight="1" x14ac:dyDescent="0.2"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</row>
    <row r="75" spans="5:24" ht="15.75" customHeight="1" x14ac:dyDescent="0.2"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</row>
    <row r="76" spans="5:24" ht="15.75" customHeight="1" x14ac:dyDescent="0.2"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</row>
    <row r="77" spans="5:24" ht="15.75" customHeight="1" x14ac:dyDescent="0.2"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</row>
    <row r="78" spans="5:24" ht="15.75" customHeight="1" x14ac:dyDescent="0.2"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</row>
    <row r="79" spans="5:24" ht="15.75" customHeight="1" x14ac:dyDescent="0.2"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</row>
    <row r="80" spans="5:24" ht="15.75" customHeight="1" x14ac:dyDescent="0.2"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</row>
    <row r="81" spans="5:24" ht="15.75" customHeight="1" x14ac:dyDescent="0.2"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</row>
    <row r="82" spans="5:24" ht="15.75" customHeight="1" x14ac:dyDescent="0.2"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</row>
    <row r="83" spans="5:24" ht="15.75" customHeight="1" x14ac:dyDescent="0.2"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</row>
    <row r="84" spans="5:24" ht="15.75" customHeight="1" x14ac:dyDescent="0.2"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</row>
    <row r="85" spans="5:24" ht="15.75" customHeight="1" x14ac:dyDescent="0.2"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</row>
    <row r="86" spans="5:24" ht="15.75" customHeight="1" x14ac:dyDescent="0.2"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</row>
    <row r="87" spans="5:24" ht="15.75" customHeight="1" x14ac:dyDescent="0.2"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</row>
    <row r="88" spans="5:24" ht="15.75" customHeight="1" x14ac:dyDescent="0.2"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</row>
    <row r="89" spans="5:24" ht="15.75" customHeight="1" x14ac:dyDescent="0.2"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</row>
    <row r="90" spans="5:24" ht="15.75" customHeight="1" x14ac:dyDescent="0.2"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</row>
    <row r="91" spans="5:24" ht="15.75" customHeight="1" x14ac:dyDescent="0.2"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</row>
    <row r="92" spans="5:24" ht="15.75" customHeight="1" x14ac:dyDescent="0.2"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</row>
    <row r="93" spans="5:24" ht="15.75" customHeight="1" x14ac:dyDescent="0.2"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</row>
    <row r="94" spans="5:24" ht="15.75" customHeight="1" x14ac:dyDescent="0.2"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</row>
    <row r="95" spans="5:24" ht="15.75" customHeight="1" x14ac:dyDescent="0.2"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</row>
    <row r="96" spans="5:24" ht="15.75" customHeight="1" x14ac:dyDescent="0.2"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</row>
    <row r="97" spans="5:24" ht="15.75" customHeight="1" x14ac:dyDescent="0.2"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</row>
    <row r="98" spans="5:24" ht="15.75" customHeight="1" x14ac:dyDescent="0.2"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</row>
    <row r="99" spans="5:24" ht="15.75" customHeight="1" x14ac:dyDescent="0.2"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</row>
    <row r="100" spans="5:24" ht="15.75" customHeight="1" x14ac:dyDescent="0.2"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</row>
    <row r="101" spans="5:24" ht="15.75" customHeight="1" x14ac:dyDescent="0.2"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</row>
    <row r="102" spans="5:24" ht="15.75" customHeight="1" x14ac:dyDescent="0.2"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</row>
    <row r="103" spans="5:24" ht="15.75" customHeight="1" x14ac:dyDescent="0.2"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</row>
    <row r="104" spans="5:24" ht="15.75" customHeight="1" x14ac:dyDescent="0.2"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</row>
    <row r="105" spans="5:24" ht="15.75" customHeight="1" x14ac:dyDescent="0.2"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</row>
    <row r="106" spans="5:24" ht="15.75" customHeight="1" x14ac:dyDescent="0.2"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</row>
    <row r="107" spans="5:24" ht="15.75" customHeight="1" x14ac:dyDescent="0.2"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</row>
    <row r="108" spans="5:24" ht="15.75" customHeight="1" x14ac:dyDescent="0.2"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</row>
    <row r="109" spans="5:24" ht="15.75" customHeight="1" x14ac:dyDescent="0.2"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</row>
    <row r="110" spans="5:24" ht="15.75" customHeight="1" x14ac:dyDescent="0.2"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</row>
    <row r="111" spans="5:24" ht="15.75" customHeight="1" x14ac:dyDescent="0.2"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</row>
    <row r="112" spans="5:24" ht="15.75" customHeight="1" x14ac:dyDescent="0.2"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</row>
    <row r="113" spans="5:24" ht="15.75" customHeight="1" x14ac:dyDescent="0.2"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</row>
    <row r="114" spans="5:24" ht="15.75" customHeight="1" x14ac:dyDescent="0.2"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</row>
    <row r="115" spans="2:24" ht="15.75" customHeight="1" x14ac:dyDescent="0.2"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</row>
    <row r="116" spans="2:24" ht="15.75" customHeight="1" x14ac:dyDescent="0.2"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</row>
    <row r="117" spans="2:24" ht="15.75" customHeight="1" x14ac:dyDescent="0.2"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</row>
    <row r="118" spans="2:24" ht="15.75" customHeight="1" x14ac:dyDescent="0.2"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</row>
    <row r="119" spans="2:24" ht="15.75" customHeight="1" x14ac:dyDescent="0.2"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</row>
    <row r="120" spans="2:24" ht="15.75" customHeight="1" x14ac:dyDescent="0.2"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</row>
    <row r="121" spans="2:24" ht="15.75" customHeight="1" x14ac:dyDescent="0.2"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</row>
    <row r="122" spans="2:24" ht="15.75" customHeight="1" x14ac:dyDescent="0.2"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</row>
    <row r="123" spans="2:24" ht="15.75" customHeight="1" x14ac:dyDescent="0.2"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</row>
    <row r="124" spans="2:24" ht="15.75" customHeight="1" x14ac:dyDescent="0.2"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</row>
    <row r="125" spans="2:24" ht="15.75" customHeight="1" x14ac:dyDescent="0.2"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</row>
    <row r="126" spans="2:24" ht="15.75" customHeight="1" x14ac:dyDescent="0.2"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</row>
    <row r="127" spans="2:24" ht="15.75" customHeight="1" x14ac:dyDescent="0.2"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</row>
    <row r="128" spans="2:24" ht="15.75" customHeight="1" x14ac:dyDescent="0.2"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</row>
    <row r="129" spans="2:24" ht="15.75" customHeight="1" x14ac:dyDescent="0.2"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</row>
    <row r="130" spans="2:24" ht="15.75" customHeight="1" x14ac:dyDescent="0.2"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</row>
    <row r="131" spans="2:24" ht="15.75" customHeight="1" x14ac:dyDescent="0.2"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</row>
    <row r="132" spans="2:24" ht="15.75" customHeight="1" x14ac:dyDescent="0.2"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</row>
    <row r="133" spans="2:24" ht="15.75" customHeight="1" x14ac:dyDescent="0.2"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</row>
    <row r="134" spans="2:24" ht="15.75" customHeight="1" x14ac:dyDescent="0.2"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</row>
    <row r="135" spans="2:24" ht="15.75" customHeight="1" x14ac:dyDescent="0.2"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</row>
    <row r="136" spans="2:24" ht="15.75" customHeight="1" x14ac:dyDescent="0.2"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</row>
    <row r="137" spans="2:24" ht="15.75" customHeight="1" x14ac:dyDescent="0.2"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</row>
    <row r="138" spans="2:24" ht="15.75" customHeight="1" x14ac:dyDescent="0.2"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</row>
    <row r="139" spans="2:24" ht="15.75" customHeight="1" x14ac:dyDescent="0.2"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</row>
    <row r="140" spans="2:24" ht="15.75" customHeight="1" x14ac:dyDescent="0.2"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</row>
    <row r="141" spans="2:24" ht="15.75" customHeight="1" x14ac:dyDescent="0.2"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</row>
    <row r="142" spans="2:24" ht="15.75" customHeight="1" x14ac:dyDescent="0.2"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</row>
    <row r="143" spans="2:24" ht="15.75" customHeight="1" x14ac:dyDescent="0.2"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</row>
    <row r="144" spans="2:24" ht="15.75" customHeight="1" x14ac:dyDescent="0.2"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</row>
    <row r="145" spans="2:24" ht="15.75" customHeight="1" x14ac:dyDescent="0.2"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</row>
    <row r="146" spans="2:24" ht="15.75" customHeight="1" x14ac:dyDescent="0.2"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</row>
    <row r="147" spans="2:24" ht="15.75" customHeight="1" x14ac:dyDescent="0.2"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</row>
    <row r="148" spans="2:24" ht="15.75" customHeight="1" x14ac:dyDescent="0.2"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</row>
    <row r="149" spans="2:24" ht="15.75" customHeight="1" x14ac:dyDescent="0.2"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</row>
    <row r="150" spans="2:24" ht="15.75" customHeight="1" x14ac:dyDescent="0.2"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</row>
    <row r="151" spans="2:24" ht="15.75" customHeight="1" x14ac:dyDescent="0.2"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</row>
    <row r="152" spans="2:24" ht="15.75" customHeight="1" x14ac:dyDescent="0.2"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</row>
    <row r="153" spans="2:24" ht="15.75" customHeight="1" x14ac:dyDescent="0.2"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</row>
    <row r="154" spans="2:24" ht="15.75" customHeight="1" x14ac:dyDescent="0.2"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</row>
    <row r="155" spans="2:24" ht="15.75" customHeight="1" x14ac:dyDescent="0.2"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</row>
    <row r="156" spans="2:24" ht="15.75" customHeight="1" x14ac:dyDescent="0.2"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</row>
    <row r="157" spans="2:24" ht="15.75" customHeight="1" x14ac:dyDescent="0.2"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</row>
    <row r="158" spans="2:24" ht="15.75" customHeight="1" x14ac:dyDescent="0.2"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</row>
    <row r="159" spans="2:24" ht="15.75" customHeight="1" x14ac:dyDescent="0.2"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</row>
    <row r="160" spans="2:24" ht="15.75" customHeight="1" x14ac:dyDescent="0.2"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</row>
    <row r="161" spans="2:24" ht="15.75" customHeight="1" x14ac:dyDescent="0.2"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</row>
    <row r="162" spans="2:24" ht="15.75" customHeight="1" x14ac:dyDescent="0.2"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</row>
    <row r="163" spans="2:24" ht="15.75" customHeight="1" x14ac:dyDescent="0.2"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</row>
    <row r="164" spans="2:24" ht="15.75" customHeight="1" x14ac:dyDescent="0.2"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</row>
    <row r="165" spans="2:24" ht="15.75" customHeight="1" x14ac:dyDescent="0.2"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</row>
    <row r="166" spans="2:24" ht="15.75" customHeight="1" x14ac:dyDescent="0.2"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</row>
    <row r="167" spans="2:24" ht="15.75" customHeight="1" x14ac:dyDescent="0.2"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</row>
    <row r="168" spans="2:24" ht="15.75" customHeight="1" x14ac:dyDescent="0.2"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</row>
    <row r="169" spans="2:24" ht="15.75" customHeight="1" x14ac:dyDescent="0.2"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</row>
    <row r="170" spans="2:24" ht="15.75" customHeight="1" x14ac:dyDescent="0.2"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</row>
    <row r="171" spans="2:24" ht="15.75" customHeight="1" x14ac:dyDescent="0.2"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</row>
    <row r="172" spans="2:24" ht="15.75" customHeight="1" x14ac:dyDescent="0.2"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</row>
    <row r="173" spans="2:24" ht="15.75" customHeight="1" x14ac:dyDescent="0.2"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</row>
    <row r="174" spans="2:24" ht="15.75" customHeight="1" x14ac:dyDescent="0.2"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</row>
    <row r="175" spans="2:24" ht="15.75" customHeight="1" x14ac:dyDescent="0.2"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</row>
    <row r="176" spans="2:24" ht="15.75" customHeight="1" x14ac:dyDescent="0.2"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</row>
    <row r="177" spans="2:24" ht="15.75" customHeight="1" x14ac:dyDescent="0.2"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</row>
    <row r="178" spans="2:24" ht="15.75" customHeight="1" x14ac:dyDescent="0.2"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</row>
    <row r="179" spans="2:24" ht="15.75" customHeight="1" x14ac:dyDescent="0.2"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</row>
    <row r="180" spans="2:24" ht="15.75" customHeight="1" x14ac:dyDescent="0.2"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</row>
    <row r="181" spans="2:24" ht="15.75" customHeight="1" x14ac:dyDescent="0.2"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</row>
    <row r="182" spans="2:24" ht="15.75" customHeight="1" x14ac:dyDescent="0.2"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</row>
    <row r="183" spans="2:24" ht="15.75" customHeight="1" x14ac:dyDescent="0.2"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</row>
    <row r="184" spans="2:24" ht="15.75" customHeight="1" x14ac:dyDescent="0.2"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</row>
    <row r="185" spans="2:24" ht="15.75" customHeight="1" x14ac:dyDescent="0.2"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</row>
    <row r="186" spans="2:24" ht="15.75" customHeight="1" x14ac:dyDescent="0.2"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</row>
    <row r="187" spans="2:24" ht="15.75" customHeight="1" x14ac:dyDescent="0.2"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</row>
    <row r="188" spans="2:24" ht="15.75" customHeight="1" x14ac:dyDescent="0.2"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</row>
    <row r="189" spans="2:24" ht="15.75" customHeight="1" x14ac:dyDescent="0.2"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</row>
    <row r="190" spans="2:24" ht="15.75" customHeight="1" x14ac:dyDescent="0.2"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</row>
    <row r="191" spans="2:24" ht="15.75" customHeight="1" x14ac:dyDescent="0.2"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</row>
    <row r="192" spans="2:24" ht="15.75" customHeight="1" x14ac:dyDescent="0.2"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</row>
    <row r="193" spans="2:24" ht="15.75" customHeight="1" x14ac:dyDescent="0.2"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</row>
    <row r="194" spans="2:24" ht="15.75" customHeight="1" x14ac:dyDescent="0.2"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</row>
    <row r="195" spans="2:24" ht="15.75" customHeight="1" x14ac:dyDescent="0.2"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</row>
    <row r="196" spans="2:24" ht="15.75" customHeight="1" x14ac:dyDescent="0.2"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</row>
    <row r="197" spans="2:24" ht="15.75" customHeight="1" x14ac:dyDescent="0.2"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</row>
    <row r="198" spans="2:24" ht="15.75" customHeight="1" x14ac:dyDescent="0.2"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</row>
    <row r="199" spans="2:24" ht="15.75" customHeight="1" x14ac:dyDescent="0.2"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</row>
    <row r="200" spans="2:24" ht="15.75" customHeight="1" x14ac:dyDescent="0.2"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</row>
    <row r="201" spans="2:24" ht="15.75" customHeight="1" x14ac:dyDescent="0.2"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</row>
    <row r="202" spans="2:24" ht="15.75" customHeight="1" x14ac:dyDescent="0.2"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</row>
    <row r="203" spans="2:24" ht="15.75" customHeight="1" x14ac:dyDescent="0.2"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</row>
    <row r="204" spans="2:24" ht="15.75" customHeight="1" x14ac:dyDescent="0.2"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</row>
    <row r="205" spans="2:24" ht="15.75" customHeight="1" x14ac:dyDescent="0.2"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</row>
    <row r="206" spans="2:24" ht="15.75" customHeight="1" x14ac:dyDescent="0.2"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</row>
    <row r="207" spans="2:24" ht="15.75" customHeight="1" x14ac:dyDescent="0.2"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</row>
    <row r="208" spans="2:24" ht="15.75" customHeight="1" x14ac:dyDescent="0.2"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</row>
    <row r="209" spans="2:24" ht="15.75" customHeight="1" x14ac:dyDescent="0.2"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</row>
    <row r="210" spans="2:24" ht="15.75" customHeight="1" x14ac:dyDescent="0.2"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</row>
    <row r="211" spans="2:24" ht="15.75" customHeight="1" x14ac:dyDescent="0.2"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</row>
    <row r="212" spans="2:24" ht="15.75" customHeight="1" x14ac:dyDescent="0.2"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</row>
    <row r="213" spans="2:24" ht="15.75" customHeight="1" x14ac:dyDescent="0.2"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</row>
    <row r="214" spans="2:24" ht="15.75" customHeight="1" x14ac:dyDescent="0.2"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</row>
    <row r="215" spans="2:24" ht="15.75" customHeight="1" x14ac:dyDescent="0.2"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</row>
    <row r="216" spans="2:24" ht="15.75" customHeight="1" x14ac:dyDescent="0.2"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</row>
    <row r="217" spans="2:24" ht="15.75" customHeight="1" x14ac:dyDescent="0.2"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</row>
    <row r="218" spans="2:24" ht="15.75" customHeight="1" x14ac:dyDescent="0.2"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</row>
    <row r="219" spans="2:24" ht="15.75" customHeight="1" x14ac:dyDescent="0.2"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</row>
    <row r="220" spans="2:24" ht="15.75" customHeight="1" x14ac:dyDescent="0.2"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</row>
    <row r="221" spans="2:24" ht="15.75" customHeight="1" x14ac:dyDescent="0.2"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</row>
    <row r="222" spans="2:24" ht="15.75" customHeight="1" x14ac:dyDescent="0.2"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</row>
    <row r="223" spans="2:24" ht="15.75" customHeight="1" x14ac:dyDescent="0.2"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</row>
    <row r="224" spans="2:24" ht="15.75" customHeight="1" x14ac:dyDescent="0.2"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</row>
    <row r="225" spans="2:24" ht="15.75" customHeight="1" x14ac:dyDescent="0.2"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</row>
    <row r="226" spans="2:24" ht="15.75" customHeight="1" x14ac:dyDescent="0.2"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</row>
    <row r="227" spans="2:24" ht="15.75" customHeight="1" x14ac:dyDescent="0.2"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</row>
    <row r="228" spans="2:24" ht="15.75" customHeight="1" x14ac:dyDescent="0.2"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</row>
    <row r="229" spans="2:24" ht="15.75" customHeight="1" x14ac:dyDescent="0.2"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</row>
    <row r="230" spans="2:24" ht="15.75" customHeight="1" x14ac:dyDescent="0.2"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</row>
    <row r="231" spans="2:24" ht="15.75" customHeight="1" x14ac:dyDescent="0.2"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</row>
    <row r="232" spans="2:24" ht="15.75" customHeight="1" x14ac:dyDescent="0.2"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</row>
    <row r="233" spans="2:24" ht="15.75" customHeight="1" x14ac:dyDescent="0.2"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</row>
    <row r="234" spans="2:24" ht="15.75" customHeight="1" x14ac:dyDescent="0.2"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</row>
    <row r="235" spans="2:24" ht="15.75" customHeight="1" x14ac:dyDescent="0.2"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</row>
    <row r="236" spans="2:24" ht="15.75" customHeight="1" x14ac:dyDescent="0.2"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</row>
    <row r="237" spans="2:24" ht="15.75" customHeight="1" x14ac:dyDescent="0.2"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</row>
    <row r="238" spans="2:24" ht="15.75" customHeight="1" x14ac:dyDescent="0.2"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</row>
    <row r="239" spans="2:24" ht="15.75" customHeight="1" x14ac:dyDescent="0.2"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</row>
    <row r="240" spans="2:24" ht="15.75" customHeight="1" x14ac:dyDescent="0.2"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</row>
    <row r="241" spans="2:24" ht="15.75" customHeight="1" x14ac:dyDescent="0.2"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</row>
    <row r="242" spans="2:24" ht="15.75" customHeight="1" x14ac:dyDescent="0.2"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</row>
    <row r="243" spans="2:24" ht="15.75" customHeight="1" x14ac:dyDescent="0.2"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</row>
    <row r="244" spans="2:24" ht="15.75" customHeight="1" x14ac:dyDescent="0.2"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</row>
    <row r="245" spans="2:24" ht="15.75" customHeight="1" x14ac:dyDescent="0.2"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</row>
    <row r="246" spans="2:24" ht="15.75" customHeight="1" x14ac:dyDescent="0.2"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</row>
    <row r="247" spans="2:24" ht="15.75" customHeight="1" x14ac:dyDescent="0.2"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</row>
    <row r="248" spans="2:24" ht="15.75" customHeight="1" x14ac:dyDescent="0.2"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</row>
    <row r="249" spans="2:24" ht="15.75" customHeight="1" x14ac:dyDescent="0.2"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</row>
    <row r="250" spans="2:24" ht="15.75" customHeight="1" x14ac:dyDescent="0.2"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</row>
    <row r="251" spans="2:24" ht="15.75" customHeight="1" x14ac:dyDescent="0.2"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</row>
    <row r="252" spans="2:24" ht="15.75" customHeight="1" x14ac:dyDescent="0.2"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</row>
    <row r="253" spans="2:24" ht="15.75" customHeight="1" x14ac:dyDescent="0.2"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</row>
    <row r="254" spans="2:24" ht="15.75" customHeight="1" x14ac:dyDescent="0.2"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</row>
    <row r="255" spans="2:24" ht="15.75" customHeight="1" x14ac:dyDescent="0.2"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</row>
    <row r="256" spans="2:24" ht="15.75" customHeight="1" x14ac:dyDescent="0.2"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</row>
    <row r="257" spans="2:24" ht="15.75" customHeight="1" x14ac:dyDescent="0.2"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</row>
    <row r="258" spans="2:24" ht="15.75" customHeight="1" x14ac:dyDescent="0.2"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</row>
    <row r="259" spans="2:24" ht="15.75" customHeight="1" x14ac:dyDescent="0.2"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</row>
    <row r="260" spans="2:24" ht="15.75" customHeight="1" x14ac:dyDescent="0.2"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</row>
    <row r="261" spans="2:24" ht="15.75" customHeight="1" x14ac:dyDescent="0.2"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</row>
    <row r="262" spans="2:24" ht="15.75" customHeight="1" x14ac:dyDescent="0.2"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</row>
    <row r="263" spans="2:24" ht="15.75" customHeight="1" x14ac:dyDescent="0.2"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</row>
    <row r="264" spans="2:24" ht="15.75" customHeight="1" x14ac:dyDescent="0.2"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</row>
    <row r="265" spans="2:24" ht="15.75" customHeight="1" x14ac:dyDescent="0.2"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</row>
    <row r="266" spans="2:24" ht="15.75" customHeight="1" x14ac:dyDescent="0.2"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</row>
    <row r="267" spans="2:24" ht="15.75" customHeight="1" x14ac:dyDescent="0.2"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</row>
    <row r="268" spans="2:24" ht="15.75" customHeight="1" x14ac:dyDescent="0.2"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</row>
    <row r="269" spans="2:24" ht="15.75" customHeight="1" x14ac:dyDescent="0.2"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</row>
    <row r="270" spans="2:24" ht="15.75" customHeight="1" x14ac:dyDescent="0.2"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</row>
    <row r="271" spans="2:24" ht="15.75" customHeight="1" x14ac:dyDescent="0.2"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</row>
    <row r="272" spans="2:24" ht="15.75" customHeight="1" x14ac:dyDescent="0.2"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</row>
    <row r="273" spans="2:24" ht="15.75" customHeight="1" x14ac:dyDescent="0.2"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</row>
    <row r="274" spans="2:24" ht="15.75" customHeight="1" x14ac:dyDescent="0.2"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</row>
    <row r="275" spans="2:24" ht="15.75" customHeight="1" x14ac:dyDescent="0.2"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</row>
    <row r="276" spans="2:24" ht="15.75" customHeight="1" x14ac:dyDescent="0.2"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</row>
    <row r="277" spans="2:24" ht="15.75" customHeight="1" x14ac:dyDescent="0.2"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</row>
    <row r="278" spans="2:24" ht="15.75" customHeight="1" x14ac:dyDescent="0.2"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</row>
    <row r="279" spans="2:24" ht="15.75" customHeight="1" x14ac:dyDescent="0.2"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</row>
    <row r="280" spans="2:24" ht="15.75" customHeight="1" x14ac:dyDescent="0.2"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</row>
    <row r="281" spans="2:24" ht="15.75" customHeight="1" x14ac:dyDescent="0.2"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</row>
    <row r="282" spans="2:24" ht="15.75" customHeight="1" x14ac:dyDescent="0.2"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</row>
    <row r="283" spans="2:24" ht="15.75" customHeight="1" x14ac:dyDescent="0.2"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</row>
    <row r="284" spans="2:24" ht="15.75" customHeight="1" x14ac:dyDescent="0.2"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</row>
    <row r="285" spans="2:24" ht="15.75" customHeight="1" x14ac:dyDescent="0.2"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</row>
    <row r="286" spans="2:24" ht="15.75" customHeight="1" x14ac:dyDescent="0.2"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</row>
    <row r="287" spans="2:24" ht="15.75" customHeight="1" x14ac:dyDescent="0.2"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</row>
    <row r="288" spans="2:24" ht="15.75" customHeight="1" x14ac:dyDescent="0.2"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</row>
    <row r="289" spans="2:24" ht="15.75" customHeight="1" x14ac:dyDescent="0.2"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</row>
    <row r="290" spans="2:24" ht="15.75" customHeight="1" x14ac:dyDescent="0.2"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</row>
    <row r="291" spans="2:24" ht="15.75" customHeight="1" x14ac:dyDescent="0.2"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</row>
    <row r="292" spans="2:24" ht="15.75" customHeight="1" x14ac:dyDescent="0.2"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</row>
    <row r="293" spans="2:24" ht="15.75" customHeight="1" x14ac:dyDescent="0.2"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</row>
    <row r="294" spans="2:24" ht="15.75" customHeight="1" x14ac:dyDescent="0.2"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</row>
    <row r="295" spans="2:24" ht="15.75" customHeight="1" x14ac:dyDescent="0.2"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</row>
    <row r="296" spans="2:24" ht="15.75" customHeight="1" x14ac:dyDescent="0.2"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</row>
    <row r="297" spans="2:24" ht="15.75" customHeight="1" x14ac:dyDescent="0.2"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</row>
    <row r="298" spans="2:24" ht="15.75" customHeight="1" x14ac:dyDescent="0.2"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</row>
    <row r="299" spans="2:24" ht="15.75" customHeight="1" x14ac:dyDescent="0.2"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</row>
    <row r="300" spans="2:24" ht="15.75" customHeight="1" x14ac:dyDescent="0.2"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</row>
    <row r="301" spans="2:24" ht="15.75" customHeight="1" x14ac:dyDescent="0.2"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</row>
    <row r="302" spans="2:24" ht="15.75" customHeight="1" x14ac:dyDescent="0.2"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</row>
    <row r="303" spans="2:24" ht="15.75" customHeight="1" x14ac:dyDescent="0.2"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</row>
    <row r="304" spans="2:24" ht="15.75" customHeight="1" x14ac:dyDescent="0.2"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</row>
    <row r="305" spans="2:24" ht="15.75" customHeight="1" x14ac:dyDescent="0.2"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</row>
    <row r="306" spans="2:24" ht="15.75" customHeight="1" x14ac:dyDescent="0.2"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</row>
    <row r="307" spans="2:24" ht="15.75" customHeight="1" x14ac:dyDescent="0.2"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</row>
    <row r="308" spans="2:24" ht="15.75" customHeight="1" x14ac:dyDescent="0.2"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</row>
    <row r="309" spans="2:24" ht="15.75" customHeight="1" x14ac:dyDescent="0.2"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</row>
    <row r="310" spans="2:24" ht="15.75" customHeight="1" x14ac:dyDescent="0.2"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</row>
    <row r="311" spans="2:24" ht="15.75" customHeight="1" x14ac:dyDescent="0.2"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</row>
    <row r="312" spans="2:24" ht="15.75" customHeight="1" x14ac:dyDescent="0.2"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</row>
    <row r="313" spans="2:24" ht="15.75" customHeight="1" x14ac:dyDescent="0.2"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</row>
    <row r="314" spans="2:24" ht="15.75" customHeight="1" x14ac:dyDescent="0.2"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</row>
    <row r="315" spans="2:24" ht="15.75" customHeight="1" x14ac:dyDescent="0.2"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</row>
    <row r="316" spans="2:24" ht="15.75" customHeight="1" x14ac:dyDescent="0.2"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</row>
    <row r="317" spans="2:24" ht="15.75" customHeight="1" x14ac:dyDescent="0.2"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</row>
    <row r="318" spans="2:24" ht="15.75" customHeight="1" x14ac:dyDescent="0.2"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</row>
    <row r="319" spans="2:24" ht="15.75" customHeight="1" x14ac:dyDescent="0.2"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</row>
    <row r="320" spans="2:24" ht="15.75" customHeight="1" x14ac:dyDescent="0.2"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</row>
    <row r="321" spans="2:24" ht="15.75" customHeight="1" x14ac:dyDescent="0.2"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</row>
    <row r="322" spans="2:24" ht="15.75" customHeight="1" x14ac:dyDescent="0.2"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</row>
    <row r="323" spans="2:24" ht="15.75" customHeight="1" x14ac:dyDescent="0.2"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</row>
    <row r="324" spans="2:24" ht="15.75" customHeight="1" x14ac:dyDescent="0.2"/>
    <row r="325" spans="2:24" ht="15.75" customHeight="1" x14ac:dyDescent="0.2"/>
    <row r="326" spans="2:24" ht="15.75" customHeight="1" x14ac:dyDescent="0.2"/>
    <row r="327" spans="2:24" ht="15.75" customHeight="1" x14ac:dyDescent="0.2"/>
    <row r="328" spans="2:24" ht="15.75" customHeight="1" x14ac:dyDescent="0.2"/>
    <row r="329" spans="2:24" ht="15.75" customHeight="1" x14ac:dyDescent="0.2"/>
    <row r="330" spans="2:24" ht="15.75" customHeight="1" x14ac:dyDescent="0.2"/>
    <row r="331" spans="2:24" ht="15.75" customHeight="1" x14ac:dyDescent="0.2"/>
    <row r="332" spans="2:24" ht="15.75" customHeight="1" x14ac:dyDescent="0.2"/>
    <row r="333" spans="2:24" ht="15.75" customHeight="1" x14ac:dyDescent="0.2"/>
    <row r="334" spans="2:24" ht="15.75" customHeight="1" x14ac:dyDescent="0.2"/>
    <row r="335" spans="2:24" ht="15.75" customHeight="1" x14ac:dyDescent="0.2"/>
    <row r="336" spans="2:24" ht="15.75" customHeight="1" x14ac:dyDescent="0.2"/>
    <row r="337" spans="2:24" ht="15.75" customHeight="1" x14ac:dyDescent="0.2"/>
    <row r="338" spans="2:24" ht="15.75" customHeight="1" x14ac:dyDescent="0.2"/>
    <row r="339" customFormat="1" ht="15.75" customHeight="1" x14ac:dyDescent="0.2"/>
    <row r="340" customFormat="1" ht="15.75" customHeight="1" x14ac:dyDescent="0.2"/>
    <row r="341" customFormat="1" ht="15.75" customHeight="1" x14ac:dyDescent="0.2"/>
    <row r="342" customFormat="1" ht="15.75" customHeight="1" x14ac:dyDescent="0.2"/>
    <row r="343" customFormat="1" ht="15.75" customHeight="1" x14ac:dyDescent="0.2"/>
    <row r="344" customFormat="1" ht="15.75" customHeight="1" x14ac:dyDescent="0.2"/>
    <row r="345" customFormat="1" ht="15.75" customHeight="1" x14ac:dyDescent="0.2"/>
    <row r="346" customFormat="1" ht="15.75" customHeight="1" x14ac:dyDescent="0.2"/>
    <row r="347" customFormat="1" ht="15.75" customHeight="1" x14ac:dyDescent="0.2"/>
    <row r="348" customFormat="1" ht="15.75" customHeight="1" x14ac:dyDescent="0.2"/>
    <row r="349" customFormat="1" ht="15.75" customHeight="1" x14ac:dyDescent="0.2"/>
    <row r="350" customFormat="1" ht="15.75" customHeight="1" x14ac:dyDescent="0.2"/>
    <row r="351" customFormat="1" ht="15.75" customHeight="1" x14ac:dyDescent="0.2"/>
    <row r="352" customFormat="1" ht="15.75" customHeight="1" x14ac:dyDescent="0.2"/>
    <row r="353" customFormat="1" ht="15.75" customHeight="1" x14ac:dyDescent="0.2"/>
    <row r="354" customFormat="1" ht="15.75" customHeight="1" x14ac:dyDescent="0.2"/>
    <row r="355" customFormat="1" ht="15.75" customHeight="1" x14ac:dyDescent="0.2"/>
    <row r="356" customFormat="1" ht="15.75" customHeight="1" x14ac:dyDescent="0.2"/>
    <row r="357" customFormat="1" ht="15.75" customHeight="1" x14ac:dyDescent="0.2"/>
    <row r="358" customFormat="1" ht="15.75" customHeight="1" x14ac:dyDescent="0.2"/>
    <row r="359" customFormat="1" ht="15.75" customHeight="1" x14ac:dyDescent="0.2"/>
    <row r="360" customFormat="1" ht="15.75" customHeight="1" x14ac:dyDescent="0.2"/>
    <row r="361" customFormat="1" ht="15.75" customHeight="1" x14ac:dyDescent="0.2"/>
    <row r="362" customFormat="1" ht="15.75" customHeight="1" x14ac:dyDescent="0.2"/>
    <row r="363" customFormat="1" ht="15.75" customHeight="1" x14ac:dyDescent="0.2"/>
    <row r="364" customFormat="1" ht="15.75" customHeight="1" x14ac:dyDescent="0.2"/>
    <row r="365" customFormat="1" ht="15.75" customHeight="1" x14ac:dyDescent="0.2"/>
    <row r="366" customFormat="1" ht="15.75" customHeight="1" x14ac:dyDescent="0.2"/>
    <row r="367" customFormat="1" ht="15.75" customHeight="1" x14ac:dyDescent="0.2"/>
    <row r="368" customFormat="1" ht="15.75" customHeight="1" x14ac:dyDescent="0.2"/>
    <row r="369" customFormat="1" ht="15.75" customHeight="1" x14ac:dyDescent="0.2"/>
    <row r="370" customFormat="1" ht="15.75" customHeight="1" x14ac:dyDescent="0.2"/>
    <row r="371" customFormat="1" ht="15.75" customHeight="1" x14ac:dyDescent="0.2"/>
    <row r="372" customFormat="1" ht="15.75" customHeight="1" x14ac:dyDescent="0.2"/>
    <row r="373" customFormat="1" ht="15.75" customHeight="1" x14ac:dyDescent="0.2"/>
    <row r="374" customFormat="1" ht="15.75" customHeight="1" x14ac:dyDescent="0.2"/>
    <row r="375" customFormat="1" ht="15.75" customHeight="1" x14ac:dyDescent="0.2"/>
    <row r="376" customFormat="1" ht="15.75" customHeight="1" x14ac:dyDescent="0.2"/>
    <row r="377" customFormat="1" ht="15.75" customHeight="1" x14ac:dyDescent="0.2"/>
    <row r="378" customFormat="1" ht="15.75" customHeight="1" x14ac:dyDescent="0.2"/>
    <row r="379" customFormat="1" ht="15.75" customHeight="1" x14ac:dyDescent="0.2"/>
    <row r="380" customFormat="1" ht="15.75" customHeight="1" x14ac:dyDescent="0.2"/>
    <row r="381" customFormat="1" ht="15.75" customHeight="1" x14ac:dyDescent="0.2"/>
    <row r="382" customFormat="1" ht="15.75" customHeight="1" x14ac:dyDescent="0.2"/>
    <row r="383" customFormat="1" ht="15.75" customHeight="1" x14ac:dyDescent="0.2"/>
    <row r="384" customFormat="1" ht="15.75" customHeight="1" x14ac:dyDescent="0.2"/>
    <row r="385" customFormat="1" ht="15.75" customHeight="1" x14ac:dyDescent="0.2"/>
    <row r="386" customFormat="1" ht="15.75" customHeight="1" x14ac:dyDescent="0.2"/>
    <row r="387" customFormat="1" ht="15.75" customHeight="1" x14ac:dyDescent="0.2"/>
    <row r="388" customFormat="1" ht="15.75" customHeight="1" x14ac:dyDescent="0.2"/>
    <row r="389" customFormat="1" ht="15.75" customHeight="1" x14ac:dyDescent="0.2"/>
    <row r="390" customFormat="1" ht="15.75" customHeight="1" x14ac:dyDescent="0.2"/>
    <row r="391" customFormat="1" ht="15.75" customHeight="1" x14ac:dyDescent="0.2"/>
    <row r="392" customFormat="1" ht="15.75" customHeight="1" x14ac:dyDescent="0.2"/>
    <row r="393" customFormat="1" ht="15.75" customHeight="1" x14ac:dyDescent="0.2"/>
    <row r="394" customFormat="1" ht="15.75" customHeight="1" x14ac:dyDescent="0.2"/>
    <row r="395" customFormat="1" ht="15.75" customHeight="1" x14ac:dyDescent="0.2"/>
    <row r="396" customFormat="1" ht="15.75" customHeight="1" x14ac:dyDescent="0.2"/>
    <row r="397" customFormat="1" ht="15.75" customHeight="1" x14ac:dyDescent="0.2"/>
    <row r="398" customFormat="1" ht="15.75" customHeight="1" x14ac:dyDescent="0.2"/>
    <row r="399" customFormat="1" ht="15.75" customHeight="1" x14ac:dyDescent="0.2"/>
    <row r="400" customFormat="1" ht="15.75" customHeight="1" x14ac:dyDescent="0.2"/>
    <row r="401" customFormat="1" ht="15.75" customHeight="1" x14ac:dyDescent="0.2"/>
    <row r="402" customFormat="1" ht="15.75" customHeight="1" x14ac:dyDescent="0.2"/>
    <row r="403" customFormat="1" ht="15.75" customHeight="1" x14ac:dyDescent="0.2"/>
    <row r="404" customFormat="1" ht="15.75" customHeight="1" x14ac:dyDescent="0.2"/>
    <row r="405" customFormat="1" ht="15.75" customHeight="1" x14ac:dyDescent="0.2"/>
    <row r="406" customFormat="1" ht="15.75" customHeight="1" x14ac:dyDescent="0.2"/>
    <row r="407" customFormat="1" ht="15.75" customHeight="1" x14ac:dyDescent="0.2"/>
    <row r="408" customFormat="1" ht="15.75" customHeight="1" x14ac:dyDescent="0.2"/>
    <row r="409" customFormat="1" ht="15.75" customHeight="1" x14ac:dyDescent="0.2"/>
    <row r="410" customFormat="1" ht="15.75" customHeight="1" x14ac:dyDescent="0.2"/>
    <row r="411" customFormat="1" ht="15.75" customHeight="1" x14ac:dyDescent="0.2"/>
    <row r="412" customFormat="1" ht="15.75" customHeight="1" x14ac:dyDescent="0.2"/>
    <row r="413" customFormat="1" ht="15.75" customHeight="1" x14ac:dyDescent="0.2"/>
    <row r="414" customFormat="1" ht="15.75" customHeight="1" x14ac:dyDescent="0.2"/>
    <row r="415" customFormat="1" ht="15.75" customHeight="1" x14ac:dyDescent="0.2"/>
    <row r="416" customFormat="1" ht="15.75" customHeight="1" x14ac:dyDescent="0.2"/>
    <row r="417" customFormat="1" ht="15.75" customHeight="1" x14ac:dyDescent="0.2"/>
    <row r="418" customFormat="1" ht="15.75" customHeight="1" x14ac:dyDescent="0.2"/>
    <row r="419" customFormat="1" ht="15.75" customHeight="1" x14ac:dyDescent="0.2"/>
    <row r="420" customFormat="1" ht="15.75" customHeight="1" x14ac:dyDescent="0.2"/>
    <row r="421" customFormat="1" ht="15.75" customHeight="1" x14ac:dyDescent="0.2"/>
    <row r="422" customFormat="1" ht="15.75" customHeight="1" x14ac:dyDescent="0.2"/>
    <row r="423" customFormat="1" ht="15.75" customHeight="1" x14ac:dyDescent="0.2"/>
    <row r="424" customFormat="1" ht="15.75" customHeight="1" x14ac:dyDescent="0.2"/>
    <row r="425" customFormat="1" ht="15.75" customHeight="1" x14ac:dyDescent="0.2"/>
    <row r="426" customFormat="1" ht="15.75" customHeight="1" x14ac:dyDescent="0.2"/>
    <row r="427" customFormat="1" ht="15.75" customHeight="1" x14ac:dyDescent="0.2"/>
    <row r="428" customFormat="1" ht="15.75" customHeight="1" x14ac:dyDescent="0.2"/>
    <row r="429" customFormat="1" ht="15.75" customHeight="1" x14ac:dyDescent="0.2"/>
    <row r="430" customFormat="1" ht="15.75" customHeight="1" x14ac:dyDescent="0.2"/>
    <row r="431" customFormat="1" ht="15.75" customHeight="1" x14ac:dyDescent="0.2"/>
    <row r="432" customFormat="1" ht="15.75" customHeight="1" x14ac:dyDescent="0.2"/>
    <row r="433" customFormat="1" ht="15.75" customHeight="1" x14ac:dyDescent="0.2"/>
    <row r="434" customFormat="1" ht="15.75" customHeight="1" x14ac:dyDescent="0.2"/>
    <row r="435" customFormat="1" ht="15.75" customHeight="1" x14ac:dyDescent="0.2"/>
    <row r="436" customFormat="1" ht="15.75" customHeight="1" x14ac:dyDescent="0.2"/>
    <row r="437" customFormat="1" ht="15.75" customHeight="1" x14ac:dyDescent="0.2"/>
    <row r="438" customFormat="1" ht="15.75" customHeight="1" x14ac:dyDescent="0.2"/>
    <row r="439" customFormat="1" ht="15.75" customHeight="1" x14ac:dyDescent="0.2"/>
    <row r="440" customFormat="1" ht="15.75" customHeight="1" x14ac:dyDescent="0.2"/>
    <row r="441" customFormat="1" ht="15.75" customHeight="1" x14ac:dyDescent="0.2"/>
    <row r="442" customFormat="1" ht="15.75" customHeight="1" x14ac:dyDescent="0.2"/>
    <row r="443" customFormat="1" ht="15.75" customHeight="1" x14ac:dyDescent="0.2"/>
    <row r="444" customFormat="1" ht="15.75" customHeight="1" x14ac:dyDescent="0.2"/>
    <row r="445" customFormat="1" ht="15.75" customHeight="1" x14ac:dyDescent="0.2"/>
    <row r="446" customFormat="1" ht="15.75" customHeight="1" x14ac:dyDescent="0.2"/>
    <row r="447" customFormat="1" ht="15.75" customHeight="1" x14ac:dyDescent="0.2"/>
    <row r="448" customFormat="1" ht="15.75" customHeight="1" x14ac:dyDescent="0.2"/>
    <row r="449" customFormat="1" ht="15.75" customHeight="1" x14ac:dyDescent="0.2"/>
    <row r="450" customFormat="1" ht="15.75" customHeight="1" x14ac:dyDescent="0.2"/>
    <row r="451" customFormat="1" ht="15.75" customHeight="1" x14ac:dyDescent="0.2"/>
    <row r="452" customFormat="1" ht="15.75" customHeight="1" x14ac:dyDescent="0.2"/>
    <row r="453" customFormat="1" ht="15.75" customHeight="1" x14ac:dyDescent="0.2"/>
    <row r="454" customFormat="1" ht="15.75" customHeight="1" x14ac:dyDescent="0.2"/>
    <row r="455" customFormat="1" ht="15.75" customHeight="1" x14ac:dyDescent="0.2"/>
    <row r="456" customFormat="1" ht="15.75" customHeight="1" x14ac:dyDescent="0.2"/>
    <row r="457" customFormat="1" ht="15.75" customHeight="1" x14ac:dyDescent="0.2"/>
    <row r="458" customFormat="1" ht="15.75" customHeight="1" x14ac:dyDescent="0.2"/>
    <row r="459" customFormat="1" ht="15.75" customHeight="1" x14ac:dyDescent="0.2"/>
    <row r="460" customFormat="1" ht="15.75" customHeight="1" x14ac:dyDescent="0.2"/>
    <row r="461" customFormat="1" ht="15.75" customHeight="1" x14ac:dyDescent="0.2"/>
    <row r="462" customFormat="1" ht="15.75" customHeight="1" x14ac:dyDescent="0.2"/>
    <row r="463" customFormat="1" ht="15.75" customHeight="1" x14ac:dyDescent="0.2"/>
    <row r="464" customFormat="1" ht="15.75" customHeight="1" x14ac:dyDescent="0.2"/>
    <row r="465" customFormat="1" ht="15.75" customHeight="1" x14ac:dyDescent="0.2"/>
    <row r="466" customFormat="1" ht="15.75" customHeight="1" x14ac:dyDescent="0.2"/>
    <row r="467" customFormat="1" ht="15.75" customHeight="1" x14ac:dyDescent="0.2"/>
    <row r="468" customFormat="1" ht="15.75" customHeight="1" x14ac:dyDescent="0.2"/>
    <row r="469" customFormat="1" ht="15.75" customHeight="1" x14ac:dyDescent="0.2"/>
    <row r="470" customFormat="1" ht="15.75" customHeight="1" x14ac:dyDescent="0.2"/>
    <row r="471" customFormat="1" ht="15.75" customHeight="1" x14ac:dyDescent="0.2"/>
    <row r="472" customFormat="1" ht="15.75" customHeight="1" x14ac:dyDescent="0.2"/>
    <row r="473" customFormat="1" ht="15.75" customHeight="1" x14ac:dyDescent="0.2"/>
    <row r="474" customFormat="1" ht="15.75" customHeight="1" x14ac:dyDescent="0.2"/>
    <row r="475" customFormat="1" ht="15.75" customHeight="1" x14ac:dyDescent="0.2"/>
    <row r="476" customFormat="1" ht="15.75" customHeight="1" x14ac:dyDescent="0.2"/>
    <row r="477" customFormat="1" ht="15.75" customHeight="1" x14ac:dyDescent="0.2"/>
    <row r="478" customFormat="1" ht="15.75" customHeight="1" x14ac:dyDescent="0.2"/>
    <row r="479" customFormat="1" ht="15.75" customHeight="1" x14ac:dyDescent="0.2"/>
    <row r="480" customFormat="1" ht="15.75" customHeight="1" x14ac:dyDescent="0.2"/>
    <row r="481" customFormat="1" ht="15.75" customHeight="1" x14ac:dyDescent="0.2"/>
    <row r="482" customFormat="1" ht="15.75" customHeight="1" x14ac:dyDescent="0.2"/>
    <row r="483" customFormat="1" ht="15.75" customHeight="1" x14ac:dyDescent="0.2"/>
    <row r="484" customFormat="1" ht="15.75" customHeight="1" x14ac:dyDescent="0.2"/>
    <row r="485" customFormat="1" ht="15.75" customHeight="1" x14ac:dyDescent="0.2"/>
    <row r="486" customFormat="1" ht="15.75" customHeight="1" x14ac:dyDescent="0.2"/>
    <row r="487" customFormat="1" ht="15.75" customHeight="1" x14ac:dyDescent="0.2"/>
    <row r="488" customFormat="1" ht="15.75" customHeight="1" x14ac:dyDescent="0.2"/>
    <row r="489" customFormat="1" ht="15.75" customHeight="1" x14ac:dyDescent="0.2"/>
    <row r="490" customFormat="1" ht="15.75" customHeight="1" x14ac:dyDescent="0.2"/>
    <row r="491" customFormat="1" ht="15.75" customHeight="1" x14ac:dyDescent="0.2"/>
    <row r="492" customFormat="1" ht="15.75" customHeight="1" x14ac:dyDescent="0.2"/>
    <row r="493" customFormat="1" ht="15.75" customHeight="1" x14ac:dyDescent="0.2"/>
    <row r="494" customFormat="1" ht="15.75" customHeight="1" x14ac:dyDescent="0.2"/>
    <row r="495" customFormat="1" ht="15.75" customHeight="1" x14ac:dyDescent="0.2"/>
    <row r="496" customFormat="1" ht="15.75" customHeight="1" x14ac:dyDescent="0.2"/>
    <row r="497" customFormat="1" ht="15.75" customHeight="1" x14ac:dyDescent="0.2"/>
    <row r="498" customFormat="1" ht="15.75" customHeight="1" x14ac:dyDescent="0.2"/>
    <row r="499" customFormat="1" ht="15.75" customHeight="1" x14ac:dyDescent="0.2"/>
    <row r="500" customFormat="1" ht="15.75" customHeight="1" x14ac:dyDescent="0.2"/>
    <row r="501" customFormat="1" ht="15.75" customHeight="1" x14ac:dyDescent="0.2"/>
    <row r="502" customFormat="1" ht="15.75" customHeight="1" x14ac:dyDescent="0.2"/>
    <row r="503" customFormat="1" ht="15.75" customHeight="1" x14ac:dyDescent="0.2"/>
    <row r="504" customFormat="1" ht="15.75" customHeight="1" x14ac:dyDescent="0.2"/>
    <row r="505" customFormat="1" ht="15.75" customHeight="1" x14ac:dyDescent="0.2"/>
    <row r="506" customFormat="1" ht="15.75" customHeight="1" x14ac:dyDescent="0.2"/>
    <row r="507" customFormat="1" ht="15.75" customHeight="1" x14ac:dyDescent="0.2"/>
    <row r="508" customFormat="1" ht="15.75" customHeight="1" x14ac:dyDescent="0.2"/>
    <row r="509" customFormat="1" ht="15.75" customHeight="1" x14ac:dyDescent="0.2"/>
    <row r="510" customFormat="1" ht="15.75" customHeight="1" x14ac:dyDescent="0.2"/>
    <row r="511" customFormat="1" ht="15.75" customHeight="1" x14ac:dyDescent="0.2"/>
    <row r="512" customFormat="1" ht="15.75" customHeight="1" x14ac:dyDescent="0.2"/>
    <row r="513" customFormat="1" ht="15.75" customHeight="1" x14ac:dyDescent="0.2"/>
    <row r="514" customFormat="1" ht="15.75" customHeight="1" x14ac:dyDescent="0.2"/>
    <row r="515" customFormat="1" ht="15.75" customHeight="1" x14ac:dyDescent="0.2"/>
    <row r="516" customFormat="1" ht="15.75" customHeight="1" x14ac:dyDescent="0.2"/>
    <row r="517" customFormat="1" ht="15.75" customHeight="1" x14ac:dyDescent="0.2"/>
    <row r="518" customFormat="1" ht="15.75" customHeight="1" x14ac:dyDescent="0.2"/>
    <row r="519" customFormat="1" ht="15.75" customHeight="1" x14ac:dyDescent="0.2"/>
    <row r="520" customFormat="1" ht="15.75" customHeight="1" x14ac:dyDescent="0.2"/>
    <row r="521" customFormat="1" ht="15.75" customHeight="1" x14ac:dyDescent="0.2"/>
    <row r="522" customFormat="1" ht="15.75" customHeight="1" x14ac:dyDescent="0.2"/>
    <row r="523" customFormat="1" ht="15.75" customHeight="1" x14ac:dyDescent="0.2"/>
    <row r="524" customFormat="1" ht="15.75" customHeight="1" x14ac:dyDescent="0.2"/>
    <row r="525" customFormat="1" ht="15.75" customHeight="1" x14ac:dyDescent="0.2"/>
    <row r="526" customFormat="1" ht="15.75" customHeight="1" x14ac:dyDescent="0.2"/>
    <row r="527" customFormat="1" ht="15.75" customHeight="1" x14ac:dyDescent="0.2"/>
    <row r="528" customFormat="1" ht="15.75" customHeight="1" x14ac:dyDescent="0.2"/>
    <row r="529" customFormat="1" ht="15.75" customHeight="1" x14ac:dyDescent="0.2"/>
    <row r="530" customFormat="1" ht="15.75" customHeight="1" x14ac:dyDescent="0.2"/>
    <row r="531" customFormat="1" ht="15.75" customHeight="1" x14ac:dyDescent="0.2"/>
    <row r="532" customFormat="1" ht="15.75" customHeight="1" x14ac:dyDescent="0.2"/>
    <row r="533" customFormat="1" ht="15.75" customHeight="1" x14ac:dyDescent="0.2"/>
    <row r="534" customFormat="1" ht="15.75" customHeight="1" x14ac:dyDescent="0.2"/>
    <row r="535" customFormat="1" ht="15.75" customHeight="1" x14ac:dyDescent="0.2"/>
    <row r="536" customFormat="1" ht="15.75" customHeight="1" x14ac:dyDescent="0.2"/>
    <row r="537" customFormat="1" ht="15.75" customHeight="1" x14ac:dyDescent="0.2"/>
    <row r="538" customFormat="1" ht="15.75" customHeight="1" x14ac:dyDescent="0.2"/>
    <row r="539" customFormat="1" ht="15.75" customHeight="1" x14ac:dyDescent="0.2"/>
    <row r="540" customFormat="1" ht="15.75" customHeight="1" x14ac:dyDescent="0.2"/>
    <row r="541" customFormat="1" ht="15.75" customHeight="1" x14ac:dyDescent="0.2"/>
    <row r="542" customFormat="1" ht="15.75" customHeight="1" x14ac:dyDescent="0.2"/>
    <row r="543" customFormat="1" ht="15.75" customHeight="1" x14ac:dyDescent="0.2"/>
    <row r="544" customFormat="1" ht="15.75" customHeight="1" x14ac:dyDescent="0.2"/>
    <row r="545" customFormat="1" ht="15.75" customHeight="1" x14ac:dyDescent="0.2"/>
    <row r="546" customFormat="1" ht="15.75" customHeight="1" x14ac:dyDescent="0.2"/>
    <row r="547" customFormat="1" ht="15.75" customHeight="1" x14ac:dyDescent="0.2"/>
    <row r="548" customFormat="1" ht="15.75" customHeight="1" x14ac:dyDescent="0.2"/>
    <row r="549" customFormat="1" ht="15.75" customHeight="1" x14ac:dyDescent="0.2"/>
    <row r="550" customFormat="1" ht="15.75" customHeight="1" x14ac:dyDescent="0.2"/>
    <row r="551" customFormat="1" ht="15.75" customHeight="1" x14ac:dyDescent="0.2"/>
    <row r="552" customFormat="1" ht="15.75" customHeight="1" x14ac:dyDescent="0.2"/>
    <row r="553" customFormat="1" ht="15.75" customHeight="1" x14ac:dyDescent="0.2"/>
    <row r="554" customFormat="1" ht="15.75" customHeight="1" x14ac:dyDescent="0.2"/>
    <row r="555" customFormat="1" ht="15.75" customHeight="1" x14ac:dyDescent="0.2"/>
    <row r="556" customFormat="1" ht="15.75" customHeight="1" x14ac:dyDescent="0.2"/>
    <row r="557" customFormat="1" ht="15.75" customHeight="1" x14ac:dyDescent="0.2"/>
    <row r="558" customFormat="1" ht="15.75" customHeight="1" x14ac:dyDescent="0.2"/>
    <row r="559" customFormat="1" ht="15.75" customHeight="1" x14ac:dyDescent="0.2"/>
    <row r="560" customFormat="1" ht="15.75" customHeight="1" x14ac:dyDescent="0.2"/>
    <row r="561" customFormat="1" ht="15.75" customHeight="1" x14ac:dyDescent="0.2"/>
    <row r="562" customFormat="1" ht="15.75" customHeight="1" x14ac:dyDescent="0.2"/>
    <row r="563" customFormat="1" ht="15.75" customHeight="1" x14ac:dyDescent="0.2"/>
    <row r="564" customFormat="1" ht="15.75" customHeight="1" x14ac:dyDescent="0.2"/>
    <row r="565" customFormat="1" ht="15.75" customHeight="1" x14ac:dyDescent="0.2"/>
    <row r="566" customFormat="1" ht="15.75" customHeight="1" x14ac:dyDescent="0.2"/>
    <row r="567" customFormat="1" ht="15.75" customHeight="1" x14ac:dyDescent="0.2"/>
    <row r="568" customFormat="1" ht="15.75" customHeight="1" x14ac:dyDescent="0.2"/>
    <row r="569" customFormat="1" ht="15.75" customHeight="1" x14ac:dyDescent="0.2"/>
    <row r="570" customFormat="1" ht="15.75" customHeight="1" x14ac:dyDescent="0.2"/>
    <row r="571" customFormat="1" ht="15.75" customHeight="1" x14ac:dyDescent="0.2"/>
    <row r="572" customFormat="1" ht="15.75" customHeight="1" x14ac:dyDescent="0.2"/>
    <row r="573" customFormat="1" ht="15.75" customHeight="1" x14ac:dyDescent="0.2"/>
    <row r="574" customFormat="1" ht="15.75" customHeight="1" x14ac:dyDescent="0.2"/>
    <row r="575" customFormat="1" ht="15.75" customHeight="1" x14ac:dyDescent="0.2"/>
    <row r="576" customFormat="1" ht="15.75" customHeight="1" x14ac:dyDescent="0.2"/>
    <row r="577" customFormat="1" ht="15.75" customHeight="1" x14ac:dyDescent="0.2"/>
    <row r="578" customFormat="1" ht="15.75" customHeight="1" x14ac:dyDescent="0.2"/>
    <row r="579" customFormat="1" ht="15.75" customHeight="1" x14ac:dyDescent="0.2"/>
    <row r="580" customFormat="1" ht="15.75" customHeight="1" x14ac:dyDescent="0.2"/>
    <row r="581" customFormat="1" ht="15.75" customHeight="1" x14ac:dyDescent="0.2"/>
    <row r="582" customFormat="1" ht="15.75" customHeight="1" x14ac:dyDescent="0.2"/>
    <row r="583" customFormat="1" ht="15.75" customHeight="1" x14ac:dyDescent="0.2"/>
    <row r="584" customFormat="1" ht="15.75" customHeight="1" x14ac:dyDescent="0.2"/>
    <row r="585" customFormat="1" ht="15.75" customHeight="1" x14ac:dyDescent="0.2"/>
    <row r="586" customFormat="1" ht="15.75" customHeight="1" x14ac:dyDescent="0.2"/>
    <row r="587" customFormat="1" ht="15.75" customHeight="1" x14ac:dyDescent="0.2"/>
    <row r="588" customFormat="1" ht="15.75" customHeight="1" x14ac:dyDescent="0.2"/>
    <row r="589" customFormat="1" ht="15.75" customHeight="1" x14ac:dyDescent="0.2"/>
    <row r="590" customFormat="1" ht="15.75" customHeight="1" x14ac:dyDescent="0.2"/>
    <row r="591" customFormat="1" ht="15.75" customHeight="1" x14ac:dyDescent="0.2"/>
    <row r="592" customFormat="1" ht="15.75" customHeight="1" x14ac:dyDescent="0.2"/>
    <row r="593" customFormat="1" ht="15.75" customHeight="1" x14ac:dyDescent="0.2"/>
    <row r="594" customFormat="1" ht="15.75" customHeight="1" x14ac:dyDescent="0.2"/>
    <row r="595" customFormat="1" ht="15.75" customHeight="1" x14ac:dyDescent="0.2"/>
    <row r="596" customFormat="1" ht="15.75" customHeight="1" x14ac:dyDescent="0.2"/>
    <row r="597" customFormat="1" ht="15.75" customHeight="1" x14ac:dyDescent="0.2"/>
    <row r="598" customFormat="1" ht="15.75" customHeight="1" x14ac:dyDescent="0.2"/>
    <row r="599" customFormat="1" ht="15.75" customHeight="1" x14ac:dyDescent="0.2"/>
    <row r="600" customFormat="1" ht="15.75" customHeight="1" x14ac:dyDescent="0.2"/>
    <row r="601" customFormat="1" ht="15.75" customHeight="1" x14ac:dyDescent="0.2"/>
    <row r="602" customFormat="1" ht="15.75" customHeight="1" x14ac:dyDescent="0.2"/>
    <row r="603" customFormat="1" ht="15.75" customHeight="1" x14ac:dyDescent="0.2"/>
    <row r="604" customFormat="1" ht="15.75" customHeight="1" x14ac:dyDescent="0.2"/>
    <row r="605" customFormat="1" ht="15.75" customHeight="1" x14ac:dyDescent="0.2"/>
    <row r="606" customFormat="1" ht="15.75" customHeight="1" x14ac:dyDescent="0.2"/>
    <row r="607" customFormat="1" ht="15.75" customHeight="1" x14ac:dyDescent="0.2"/>
    <row r="608" customFormat="1" ht="15.75" customHeight="1" x14ac:dyDescent="0.2"/>
    <row r="609" customFormat="1" ht="15.75" customHeight="1" x14ac:dyDescent="0.2"/>
    <row r="610" customFormat="1" ht="15.75" customHeight="1" x14ac:dyDescent="0.2"/>
    <row r="611" customFormat="1" ht="15.75" customHeight="1" x14ac:dyDescent="0.2"/>
    <row r="612" customFormat="1" ht="15.75" customHeight="1" x14ac:dyDescent="0.2"/>
    <row r="613" customFormat="1" ht="15.75" customHeight="1" x14ac:dyDescent="0.2"/>
    <row r="614" customFormat="1" ht="15.75" customHeight="1" x14ac:dyDescent="0.2"/>
    <row r="615" customFormat="1" ht="15.75" customHeight="1" x14ac:dyDescent="0.2"/>
    <row r="616" customFormat="1" ht="15.75" customHeight="1" x14ac:dyDescent="0.2"/>
    <row r="617" customFormat="1" ht="15.75" customHeight="1" x14ac:dyDescent="0.2"/>
    <row r="618" customFormat="1" ht="15.75" customHeight="1" x14ac:dyDescent="0.2"/>
    <row r="619" customFormat="1" ht="15.75" customHeight="1" x14ac:dyDescent="0.2"/>
    <row r="620" customFormat="1" ht="15.75" customHeight="1" x14ac:dyDescent="0.2"/>
    <row r="621" customFormat="1" ht="15.75" customHeight="1" x14ac:dyDescent="0.2"/>
    <row r="622" customFormat="1" ht="15.75" customHeight="1" x14ac:dyDescent="0.2"/>
    <row r="623" customFormat="1" ht="15.75" customHeight="1" x14ac:dyDescent="0.2"/>
    <row r="624" customFormat="1" ht="15.75" customHeight="1" x14ac:dyDescent="0.2"/>
    <row r="625" customFormat="1" ht="15.75" customHeight="1" x14ac:dyDescent="0.2"/>
    <row r="626" customFormat="1" ht="15.75" customHeight="1" x14ac:dyDescent="0.2"/>
    <row r="627" customFormat="1" ht="15.75" customHeight="1" x14ac:dyDescent="0.2"/>
    <row r="628" customFormat="1" ht="15.75" customHeight="1" x14ac:dyDescent="0.2"/>
    <row r="629" customFormat="1" ht="15.75" customHeight="1" x14ac:dyDescent="0.2"/>
    <row r="630" customFormat="1" ht="15.75" customHeight="1" x14ac:dyDescent="0.2"/>
    <row r="631" customFormat="1" ht="15.75" customHeight="1" x14ac:dyDescent="0.2"/>
    <row r="632" customFormat="1" ht="15.75" customHeight="1" x14ac:dyDescent="0.2"/>
    <row r="633" customFormat="1" ht="15.75" customHeight="1" x14ac:dyDescent="0.2"/>
    <row r="634" customFormat="1" ht="15.75" customHeight="1" x14ac:dyDescent="0.2"/>
    <row r="635" customFormat="1" ht="15.75" customHeight="1" x14ac:dyDescent="0.2"/>
    <row r="636" customFormat="1" ht="15.75" customHeight="1" x14ac:dyDescent="0.2"/>
    <row r="637" customFormat="1" ht="15.75" customHeight="1" x14ac:dyDescent="0.2"/>
    <row r="638" customFormat="1" ht="15.75" customHeight="1" x14ac:dyDescent="0.2"/>
    <row r="639" customFormat="1" ht="15.75" customHeight="1" x14ac:dyDescent="0.2"/>
    <row r="640" customFormat="1" ht="15.75" customHeight="1" x14ac:dyDescent="0.2"/>
    <row r="641" customFormat="1" ht="15.75" customHeight="1" x14ac:dyDescent="0.2"/>
    <row r="642" customFormat="1" ht="15.75" customHeight="1" x14ac:dyDescent="0.2"/>
    <row r="643" customFormat="1" ht="15.75" customHeight="1" x14ac:dyDescent="0.2"/>
    <row r="644" customFormat="1" ht="15.75" customHeight="1" x14ac:dyDescent="0.2"/>
    <row r="645" customFormat="1" ht="15.75" customHeight="1" x14ac:dyDescent="0.2"/>
    <row r="646" customFormat="1" ht="15.75" customHeight="1" x14ac:dyDescent="0.2"/>
    <row r="647" customFormat="1" ht="15.75" customHeight="1" x14ac:dyDescent="0.2"/>
    <row r="648" customFormat="1" ht="15.75" customHeight="1" x14ac:dyDescent="0.2"/>
    <row r="649" customFormat="1" ht="15.75" customHeight="1" x14ac:dyDescent="0.2"/>
    <row r="650" customFormat="1" ht="15.75" customHeight="1" x14ac:dyDescent="0.2"/>
    <row r="651" customFormat="1" ht="15.75" customHeight="1" x14ac:dyDescent="0.2"/>
    <row r="652" customFormat="1" ht="15.75" customHeight="1" x14ac:dyDescent="0.2"/>
    <row r="653" customFormat="1" ht="15.75" customHeight="1" x14ac:dyDescent="0.2"/>
    <row r="654" customFormat="1" ht="15.75" customHeight="1" x14ac:dyDescent="0.2"/>
    <row r="655" customFormat="1" ht="15.75" customHeight="1" x14ac:dyDescent="0.2"/>
    <row r="656" customFormat="1" ht="15.75" customHeight="1" x14ac:dyDescent="0.2"/>
    <row r="657" customFormat="1" ht="15.75" customHeight="1" x14ac:dyDescent="0.2"/>
    <row r="658" customFormat="1" ht="15.75" customHeight="1" x14ac:dyDescent="0.2"/>
    <row r="659" customFormat="1" ht="15.75" customHeight="1" x14ac:dyDescent="0.2"/>
    <row r="660" customFormat="1" ht="15.75" customHeight="1" x14ac:dyDescent="0.2"/>
    <row r="661" customFormat="1" ht="15.75" customHeight="1" x14ac:dyDescent="0.2"/>
    <row r="662" customFormat="1" ht="15.75" customHeight="1" x14ac:dyDescent="0.2"/>
    <row r="663" customFormat="1" ht="15.75" customHeight="1" x14ac:dyDescent="0.2"/>
    <row r="664" customFormat="1" ht="15.75" customHeight="1" x14ac:dyDescent="0.2"/>
    <row r="665" customFormat="1" ht="15.75" customHeight="1" x14ac:dyDescent="0.2"/>
    <row r="666" customFormat="1" ht="15.75" customHeight="1" x14ac:dyDescent="0.2"/>
    <row r="667" customFormat="1" ht="15.75" customHeight="1" x14ac:dyDescent="0.2"/>
    <row r="668" customFormat="1" ht="15.75" customHeight="1" x14ac:dyDescent="0.2"/>
    <row r="669" customFormat="1" ht="15.75" customHeight="1" x14ac:dyDescent="0.2"/>
    <row r="670" customFormat="1" ht="15.75" customHeight="1" x14ac:dyDescent="0.2"/>
    <row r="671" customFormat="1" ht="15.75" customHeight="1" x14ac:dyDescent="0.2"/>
    <row r="672" customFormat="1" ht="15.75" customHeight="1" x14ac:dyDescent="0.2"/>
    <row r="673" customFormat="1" ht="15.75" customHeight="1" x14ac:dyDescent="0.2"/>
    <row r="674" customFormat="1" ht="15.75" customHeight="1" x14ac:dyDescent="0.2"/>
    <row r="675" customFormat="1" ht="15.75" customHeight="1" x14ac:dyDescent="0.2"/>
    <row r="676" customFormat="1" ht="15.75" customHeight="1" x14ac:dyDescent="0.2"/>
    <row r="677" customFormat="1" ht="15.75" customHeight="1" x14ac:dyDescent="0.2"/>
    <row r="678" customFormat="1" ht="15.75" customHeight="1" x14ac:dyDescent="0.2"/>
    <row r="679" customFormat="1" ht="15.75" customHeight="1" x14ac:dyDescent="0.2"/>
    <row r="680" customFormat="1" ht="15.75" customHeight="1" x14ac:dyDescent="0.2"/>
    <row r="681" customFormat="1" ht="15.75" customHeight="1" x14ac:dyDescent="0.2"/>
    <row r="682" customFormat="1" ht="15.75" customHeight="1" x14ac:dyDescent="0.2"/>
    <row r="683" customFormat="1" ht="15.75" customHeight="1" x14ac:dyDescent="0.2"/>
    <row r="684" customFormat="1" ht="15.75" customHeight="1" x14ac:dyDescent="0.2"/>
    <row r="685" customFormat="1" ht="15.75" customHeight="1" x14ac:dyDescent="0.2"/>
    <row r="686" customFormat="1" ht="15.75" customHeight="1" x14ac:dyDescent="0.2"/>
    <row r="687" customFormat="1" ht="15.75" customHeight="1" x14ac:dyDescent="0.2"/>
    <row r="688" customFormat="1" ht="15.75" customHeight="1" x14ac:dyDescent="0.2"/>
    <row r="689" customFormat="1" ht="15.75" customHeight="1" x14ac:dyDescent="0.2"/>
    <row r="690" customFormat="1" ht="15.75" customHeight="1" x14ac:dyDescent="0.2"/>
    <row r="691" customFormat="1" ht="15.75" customHeight="1" x14ac:dyDescent="0.2"/>
    <row r="692" customFormat="1" ht="15.75" customHeight="1" x14ac:dyDescent="0.2"/>
    <row r="693" customFormat="1" ht="15.75" customHeight="1" x14ac:dyDescent="0.2"/>
    <row r="694" customFormat="1" ht="15.75" customHeight="1" x14ac:dyDescent="0.2"/>
    <row r="695" customFormat="1" ht="15.75" customHeight="1" x14ac:dyDescent="0.2"/>
    <row r="696" customFormat="1" ht="15.75" customHeight="1" x14ac:dyDescent="0.2"/>
    <row r="697" customFormat="1" ht="15.75" customHeight="1" x14ac:dyDescent="0.2"/>
    <row r="698" customFormat="1" ht="15.75" customHeight="1" x14ac:dyDescent="0.2"/>
    <row r="699" customFormat="1" ht="15.75" customHeight="1" x14ac:dyDescent="0.2"/>
    <row r="700" customFormat="1" ht="15.75" customHeight="1" x14ac:dyDescent="0.2"/>
    <row r="701" customFormat="1" ht="15.75" customHeight="1" x14ac:dyDescent="0.2"/>
    <row r="702" customFormat="1" ht="15.75" customHeight="1" x14ac:dyDescent="0.2"/>
    <row r="703" customFormat="1" ht="15.75" customHeight="1" x14ac:dyDescent="0.2"/>
    <row r="704" customFormat="1" ht="15.75" customHeight="1" x14ac:dyDescent="0.2"/>
    <row r="705" customFormat="1" ht="15.75" customHeight="1" x14ac:dyDescent="0.2"/>
    <row r="706" customFormat="1" ht="15.75" customHeight="1" x14ac:dyDescent="0.2"/>
    <row r="707" customFormat="1" ht="15.75" customHeight="1" x14ac:dyDescent="0.2"/>
    <row r="708" customFormat="1" ht="15.75" customHeight="1" x14ac:dyDescent="0.2"/>
    <row r="709" customFormat="1" ht="15.75" customHeight="1" x14ac:dyDescent="0.2"/>
    <row r="710" customFormat="1" ht="15.75" customHeight="1" x14ac:dyDescent="0.2"/>
    <row r="711" customFormat="1" ht="15.75" customHeight="1" x14ac:dyDescent="0.2"/>
    <row r="712" customFormat="1" ht="15.75" customHeight="1" x14ac:dyDescent="0.2"/>
    <row r="713" customFormat="1" ht="15.75" customHeight="1" x14ac:dyDescent="0.2"/>
    <row r="714" customFormat="1" ht="15.75" customHeight="1" x14ac:dyDescent="0.2"/>
    <row r="715" customFormat="1" ht="15.75" customHeight="1" x14ac:dyDescent="0.2"/>
    <row r="716" customFormat="1" ht="15.75" customHeight="1" x14ac:dyDescent="0.2"/>
    <row r="717" customFormat="1" ht="15.75" customHeight="1" x14ac:dyDescent="0.2"/>
    <row r="718" customFormat="1" ht="15.75" customHeight="1" x14ac:dyDescent="0.2"/>
    <row r="719" customFormat="1" ht="15.75" customHeight="1" x14ac:dyDescent="0.2"/>
    <row r="720" customFormat="1" ht="15.75" customHeight="1" x14ac:dyDescent="0.2"/>
    <row r="721" customFormat="1" ht="15.75" customHeight="1" x14ac:dyDescent="0.2"/>
    <row r="722" customFormat="1" ht="15.75" customHeight="1" x14ac:dyDescent="0.2"/>
    <row r="723" customFormat="1" ht="15.75" customHeight="1" x14ac:dyDescent="0.2"/>
    <row r="724" customFormat="1" ht="15.75" customHeight="1" x14ac:dyDescent="0.2"/>
    <row r="725" customFormat="1" ht="15.75" customHeight="1" x14ac:dyDescent="0.2"/>
    <row r="726" customFormat="1" ht="15.75" customHeight="1" x14ac:dyDescent="0.2"/>
    <row r="727" customFormat="1" ht="15.75" customHeight="1" x14ac:dyDescent="0.2"/>
    <row r="728" customFormat="1" ht="15.75" customHeight="1" x14ac:dyDescent="0.2"/>
    <row r="729" customFormat="1" ht="15.75" customHeight="1" x14ac:dyDescent="0.2"/>
    <row r="730" customFormat="1" ht="15.75" customHeight="1" x14ac:dyDescent="0.2"/>
    <row r="731" customFormat="1" ht="15.75" customHeight="1" x14ac:dyDescent="0.2"/>
    <row r="732" customFormat="1" ht="15.75" customHeight="1" x14ac:dyDescent="0.2"/>
    <row r="733" customFormat="1" ht="15.75" customHeight="1" x14ac:dyDescent="0.2"/>
    <row r="734" customFormat="1" ht="15.75" customHeight="1" x14ac:dyDescent="0.2"/>
    <row r="735" customFormat="1" ht="15.75" customHeight="1" x14ac:dyDescent="0.2"/>
    <row r="736" customFormat="1" ht="15.75" customHeight="1" x14ac:dyDescent="0.2"/>
    <row r="737" customFormat="1" ht="15.75" customHeight="1" x14ac:dyDescent="0.2"/>
    <row r="738" customFormat="1" ht="15.75" customHeight="1" x14ac:dyDescent="0.2"/>
    <row r="739" customFormat="1" ht="15.75" customHeight="1" x14ac:dyDescent="0.2"/>
    <row r="740" customFormat="1" ht="15.75" customHeight="1" x14ac:dyDescent="0.2"/>
    <row r="741" customFormat="1" ht="15.75" customHeight="1" x14ac:dyDescent="0.2"/>
    <row r="742" customFormat="1" ht="15.75" customHeight="1" x14ac:dyDescent="0.2"/>
    <row r="743" customFormat="1" ht="15.75" customHeight="1" x14ac:dyDescent="0.2"/>
    <row r="744" customFormat="1" ht="15.75" customHeight="1" x14ac:dyDescent="0.2"/>
    <row r="745" customFormat="1" ht="15.75" customHeight="1" x14ac:dyDescent="0.2"/>
    <row r="746" customFormat="1" ht="15.75" customHeight="1" x14ac:dyDescent="0.2"/>
    <row r="747" customFormat="1" ht="15.75" customHeight="1" x14ac:dyDescent="0.2"/>
    <row r="748" customFormat="1" ht="15.75" customHeight="1" x14ac:dyDescent="0.2"/>
    <row r="749" customFormat="1" ht="15.75" customHeight="1" x14ac:dyDescent="0.2"/>
    <row r="750" customFormat="1" ht="15.75" customHeight="1" x14ac:dyDescent="0.2"/>
    <row r="751" customFormat="1" ht="15.75" customHeight="1" x14ac:dyDescent="0.2"/>
    <row r="752" customFormat="1" ht="15.75" customHeight="1" x14ac:dyDescent="0.2"/>
    <row r="753" customFormat="1" ht="15.75" customHeight="1" x14ac:dyDescent="0.2"/>
    <row r="754" customFormat="1" ht="15.75" customHeight="1" x14ac:dyDescent="0.2"/>
    <row r="755" customFormat="1" ht="15.75" customHeight="1" x14ac:dyDescent="0.2"/>
    <row r="756" customFormat="1" ht="15.75" customHeight="1" x14ac:dyDescent="0.2"/>
    <row r="757" customFormat="1" ht="15.75" customHeight="1" x14ac:dyDescent="0.2"/>
    <row r="758" customFormat="1" ht="15.75" customHeight="1" x14ac:dyDescent="0.2"/>
    <row r="759" customFormat="1" ht="15.75" customHeight="1" x14ac:dyDescent="0.2"/>
    <row r="760" customFormat="1" ht="15.75" customHeight="1" x14ac:dyDescent="0.2"/>
    <row r="761" customFormat="1" ht="15.75" customHeight="1" x14ac:dyDescent="0.2"/>
    <row r="762" customFormat="1" ht="15.75" customHeight="1" x14ac:dyDescent="0.2"/>
    <row r="763" customFormat="1" ht="15.75" customHeight="1" x14ac:dyDescent="0.2"/>
    <row r="764" customFormat="1" ht="15.75" customHeight="1" x14ac:dyDescent="0.2"/>
    <row r="765" customFormat="1" ht="15.75" customHeight="1" x14ac:dyDescent="0.2"/>
    <row r="766" customFormat="1" ht="15.75" customHeight="1" x14ac:dyDescent="0.2"/>
    <row r="767" customFormat="1" ht="15.75" customHeight="1" x14ac:dyDescent="0.2"/>
    <row r="768" customFormat="1" ht="15.75" customHeight="1" x14ac:dyDescent="0.2"/>
    <row r="769" customFormat="1" ht="15.75" customHeight="1" x14ac:dyDescent="0.2"/>
    <row r="770" customFormat="1" ht="15.75" customHeight="1" x14ac:dyDescent="0.2"/>
    <row r="771" customFormat="1" ht="15.75" customHeight="1" x14ac:dyDescent="0.2"/>
    <row r="772" customFormat="1" ht="15.75" customHeight="1" x14ac:dyDescent="0.2"/>
    <row r="773" customFormat="1" ht="15.75" customHeight="1" x14ac:dyDescent="0.2"/>
    <row r="774" customFormat="1" ht="15.75" customHeight="1" x14ac:dyDescent="0.2"/>
    <row r="775" customFormat="1" ht="15.75" customHeight="1" x14ac:dyDescent="0.2"/>
    <row r="776" customFormat="1" ht="15.75" customHeight="1" x14ac:dyDescent="0.2"/>
    <row r="777" customFormat="1" ht="15.75" customHeight="1" x14ac:dyDescent="0.2"/>
    <row r="778" customFormat="1" ht="15.75" customHeight="1" x14ac:dyDescent="0.2"/>
    <row r="779" customFormat="1" ht="15.75" customHeight="1" x14ac:dyDescent="0.2"/>
    <row r="780" customFormat="1" ht="15.75" customHeight="1" x14ac:dyDescent="0.2"/>
    <row r="781" customFormat="1" ht="15.75" customHeight="1" x14ac:dyDescent="0.2"/>
    <row r="782" customFormat="1" ht="15.75" customHeight="1" x14ac:dyDescent="0.2"/>
    <row r="783" customFormat="1" ht="15.75" customHeight="1" x14ac:dyDescent="0.2"/>
    <row r="784" customFormat="1" ht="15.75" customHeight="1" x14ac:dyDescent="0.2"/>
    <row r="785" customFormat="1" ht="15.75" customHeight="1" x14ac:dyDescent="0.2"/>
    <row r="786" customFormat="1" ht="15.75" customHeight="1" x14ac:dyDescent="0.2"/>
    <row r="787" customFormat="1" ht="15.75" customHeight="1" x14ac:dyDescent="0.2"/>
    <row r="788" customFormat="1" ht="15.75" customHeight="1" x14ac:dyDescent="0.2"/>
    <row r="789" customFormat="1" ht="15.75" customHeight="1" x14ac:dyDescent="0.2"/>
    <row r="790" customFormat="1" ht="15" customHeight="1" x14ac:dyDescent="0.2"/>
    <row r="791" customFormat="1" ht="15" customHeight="1" x14ac:dyDescent="0.2"/>
    <row r="792" customFormat="1" ht="15" customHeight="1" x14ac:dyDescent="0.2"/>
    <row r="793" customFormat="1" ht="15" customHeight="1" x14ac:dyDescent="0.2"/>
    <row r="794" customFormat="1" ht="15" customHeight="1" x14ac:dyDescent="0.2"/>
    <row r="795" customFormat="1" ht="15" customHeight="1" x14ac:dyDescent="0.2"/>
    <row r="796" customFormat="1" ht="15" customHeight="1" x14ac:dyDescent="0.2"/>
    <row r="797" customFormat="1" ht="15" customHeight="1" x14ac:dyDescent="0.2"/>
    <row r="798" customFormat="1" ht="15" customHeight="1" x14ac:dyDescent="0.2"/>
    <row r="799" customFormat="1" ht="15" customHeight="1" x14ac:dyDescent="0.2"/>
    <row r="800" customFormat="1" ht="15" customHeight="1" x14ac:dyDescent="0.2"/>
    <row r="801" customFormat="1" ht="15" customHeight="1" x14ac:dyDescent="0.2"/>
    <row r="802" customFormat="1" ht="15" customHeight="1" x14ac:dyDescent="0.2"/>
    <row r="803" customFormat="1" ht="15" customHeight="1" x14ac:dyDescent="0.2"/>
    <row r="804" customFormat="1" ht="15" customHeight="1" x14ac:dyDescent="0.2"/>
    <row r="805" customFormat="1" ht="15" customHeight="1" x14ac:dyDescent="0.2"/>
    <row r="806" customFormat="1" ht="15" customHeight="1" x14ac:dyDescent="0.2"/>
    <row r="807" customFormat="1" ht="15" customHeight="1" x14ac:dyDescent="0.2"/>
    <row r="808" customFormat="1" ht="15" customHeight="1" x14ac:dyDescent="0.2"/>
    <row r="809" customFormat="1" ht="15" customHeight="1" x14ac:dyDescent="0.2"/>
    <row r="810" customFormat="1" ht="15" customHeight="1" x14ac:dyDescent="0.2"/>
    <row r="811" customFormat="1" ht="15" customHeight="1" x14ac:dyDescent="0.2"/>
    <row r="812" customFormat="1" ht="15" customHeight="1" x14ac:dyDescent="0.2"/>
    <row r="813" customFormat="1" ht="15" customHeight="1" x14ac:dyDescent="0.2"/>
    <row r="814" customFormat="1" ht="15" customHeight="1" x14ac:dyDescent="0.2"/>
    <row r="815" customFormat="1" ht="15" customHeight="1" x14ac:dyDescent="0.2"/>
    <row r="816" customFormat="1" ht="15" customHeight="1" x14ac:dyDescent="0.2"/>
    <row r="817" customFormat="1" ht="15" customHeight="1" x14ac:dyDescent="0.2"/>
    <row r="818" customFormat="1" ht="15" customHeight="1" x14ac:dyDescent="0.2"/>
    <row r="819" customFormat="1" ht="15" customHeight="1" x14ac:dyDescent="0.2"/>
    <row r="820" customFormat="1" ht="15" customHeight="1" x14ac:dyDescent="0.2"/>
    <row r="821" customFormat="1" ht="15" customHeight="1" x14ac:dyDescent="0.2"/>
    <row r="822" customFormat="1" ht="15" customHeight="1" x14ac:dyDescent="0.2"/>
    <row r="823" customFormat="1" ht="15" customHeight="1" x14ac:dyDescent="0.2"/>
    <row r="824" customFormat="1" ht="15" customHeight="1" x14ac:dyDescent="0.2"/>
    <row r="825" customFormat="1" ht="15" customHeight="1" x14ac:dyDescent="0.2"/>
    <row r="826" customFormat="1" ht="15" customHeight="1" x14ac:dyDescent="0.2"/>
    <row r="827" customFormat="1" ht="15" customHeight="1" x14ac:dyDescent="0.2"/>
    <row r="828" customFormat="1" ht="15" customHeight="1" x14ac:dyDescent="0.2"/>
    <row r="829" customFormat="1" ht="15" customHeight="1" x14ac:dyDescent="0.2"/>
    <row r="830" customFormat="1" ht="15" customHeight="1" x14ac:dyDescent="0.2"/>
    <row r="831" customFormat="1" ht="15" customHeight="1" x14ac:dyDescent="0.2"/>
    <row r="832" customFormat="1" ht="15" customHeight="1" x14ac:dyDescent="0.2"/>
    <row r="833" customFormat="1" ht="15" customHeight="1" x14ac:dyDescent="0.2"/>
    <row r="834" customFormat="1" ht="15" customHeight="1" x14ac:dyDescent="0.2"/>
    <row r="835" customFormat="1" ht="15" customHeight="1" x14ac:dyDescent="0.2"/>
    <row r="836" customFormat="1" ht="15" customHeight="1" x14ac:dyDescent="0.2"/>
    <row r="837" customFormat="1" ht="15" customHeight="1" x14ac:dyDescent="0.2"/>
    <row r="838" customFormat="1" ht="15" customHeight="1" x14ac:dyDescent="0.2"/>
    <row r="839" customFormat="1" ht="15" customHeight="1" x14ac:dyDescent="0.2"/>
    <row r="840" customFormat="1" ht="15" customHeight="1" x14ac:dyDescent="0.2"/>
    <row r="841" customFormat="1" ht="15" customHeight="1" x14ac:dyDescent="0.2"/>
    <row r="842" customFormat="1" ht="15" customHeight="1" x14ac:dyDescent="0.2"/>
    <row r="843" customFormat="1" ht="15" customHeight="1" x14ac:dyDescent="0.2"/>
    <row r="844" customFormat="1" ht="15" customHeight="1" x14ac:dyDescent="0.2"/>
    <row r="845" customFormat="1" ht="15" customHeight="1" x14ac:dyDescent="0.2"/>
    <row r="846" customFormat="1" ht="15" customHeight="1" x14ac:dyDescent="0.2"/>
    <row r="847" customFormat="1" ht="15" customHeight="1" x14ac:dyDescent="0.2"/>
    <row r="848" customFormat="1" ht="15" customHeight="1" x14ac:dyDescent="0.2"/>
    <row r="849" customFormat="1" ht="15" customHeight="1" x14ac:dyDescent="0.2"/>
    <row r="850" customFormat="1" ht="15" customHeight="1" x14ac:dyDescent="0.2"/>
    <row r="851" customFormat="1" ht="15" customHeight="1" x14ac:dyDescent="0.2"/>
    <row r="852" customFormat="1" ht="15" customHeight="1" x14ac:dyDescent="0.2"/>
    <row r="853" customFormat="1" ht="15" customHeight="1" x14ac:dyDescent="0.2"/>
    <row r="854" customFormat="1" ht="15" customHeight="1" x14ac:dyDescent="0.2"/>
    <row r="855" customFormat="1" ht="15" customHeight="1" x14ac:dyDescent="0.2"/>
    <row r="856" customFormat="1" ht="15" customHeight="1" x14ac:dyDescent="0.2"/>
    <row r="857" customFormat="1" ht="15" customHeight="1" x14ac:dyDescent="0.2"/>
    <row r="858" customFormat="1" ht="15" customHeight="1" x14ac:dyDescent="0.2"/>
    <row r="859" customFormat="1" ht="15" customHeight="1" x14ac:dyDescent="0.2"/>
    <row r="860" customFormat="1" ht="15" customHeight="1" x14ac:dyDescent="0.2"/>
    <row r="861" customFormat="1" ht="15" customHeight="1" x14ac:dyDescent="0.2"/>
    <row r="862" customFormat="1" ht="15" customHeight="1" x14ac:dyDescent="0.2"/>
    <row r="863" customFormat="1" ht="15" customHeight="1" x14ac:dyDescent="0.2"/>
    <row r="864" customFormat="1" ht="15" customHeight="1" x14ac:dyDescent="0.2"/>
    <row r="865" customFormat="1" ht="15" customHeight="1" x14ac:dyDescent="0.2"/>
    <row r="866" customFormat="1" ht="15" customHeight="1" x14ac:dyDescent="0.2"/>
    <row r="867" customFormat="1" ht="15" customHeight="1" x14ac:dyDescent="0.2"/>
    <row r="868" customFormat="1" ht="15" customHeight="1" x14ac:dyDescent="0.2"/>
    <row r="869" customFormat="1" ht="15" customHeight="1" x14ac:dyDescent="0.2"/>
    <row r="870" customFormat="1" ht="15" customHeight="1" x14ac:dyDescent="0.2"/>
    <row r="871" customFormat="1" ht="15" customHeight="1" x14ac:dyDescent="0.2"/>
    <row r="872" customFormat="1" ht="15" customHeight="1" x14ac:dyDescent="0.2"/>
    <row r="873" customFormat="1" ht="15" customHeight="1" x14ac:dyDescent="0.2"/>
    <row r="874" customFormat="1" ht="15" customHeight="1" x14ac:dyDescent="0.2"/>
    <row r="875" customFormat="1" ht="15" customHeight="1" x14ac:dyDescent="0.2"/>
    <row r="876" customFormat="1" ht="15" customHeight="1" x14ac:dyDescent="0.2"/>
    <row r="877" customFormat="1" ht="15" customHeight="1" x14ac:dyDescent="0.2"/>
    <row r="878" customFormat="1" ht="15" customHeight="1" x14ac:dyDescent="0.2"/>
    <row r="879" customFormat="1" ht="15" customHeight="1" x14ac:dyDescent="0.2"/>
    <row r="880" customFormat="1" ht="15" customHeight="1" x14ac:dyDescent="0.2"/>
    <row r="881" customFormat="1" ht="15" customHeight="1" x14ac:dyDescent="0.2"/>
    <row r="882" customFormat="1" ht="15" customHeight="1" x14ac:dyDescent="0.2"/>
    <row r="883" customFormat="1" ht="15" customHeight="1" x14ac:dyDescent="0.2"/>
    <row r="884" customFormat="1" ht="15" customHeight="1" x14ac:dyDescent="0.2"/>
    <row r="885" customFormat="1" ht="15" customHeight="1" x14ac:dyDescent="0.2"/>
    <row r="886" customFormat="1" ht="15" customHeight="1" x14ac:dyDescent="0.2"/>
    <row r="887" customFormat="1" ht="15" customHeight="1" x14ac:dyDescent="0.2"/>
    <row r="888" customFormat="1" ht="15" customHeight="1" x14ac:dyDescent="0.2"/>
    <row r="889" customFormat="1" ht="15" customHeight="1" x14ac:dyDescent="0.2"/>
    <row r="890" customFormat="1" ht="15" customHeight="1" x14ac:dyDescent="0.2"/>
    <row r="891" customFormat="1" ht="15" customHeight="1" x14ac:dyDescent="0.2"/>
    <row r="892" customFormat="1" ht="15" customHeight="1" x14ac:dyDescent="0.2"/>
    <row r="893" customFormat="1" ht="15" customHeight="1" x14ac:dyDescent="0.2"/>
    <row r="894" customFormat="1" ht="15" customHeight="1" x14ac:dyDescent="0.2"/>
    <row r="895" customFormat="1" ht="15" customHeight="1" x14ac:dyDescent="0.2"/>
    <row r="896" customFormat="1" ht="15" customHeight="1" x14ac:dyDescent="0.2"/>
    <row r="897" customFormat="1" ht="15" customHeight="1" x14ac:dyDescent="0.2"/>
    <row r="898" customFormat="1" ht="15" customHeight="1" x14ac:dyDescent="0.2"/>
    <row r="899" customFormat="1" ht="15" customHeight="1" x14ac:dyDescent="0.2"/>
    <row r="900" customFormat="1" ht="15" customHeight="1" x14ac:dyDescent="0.2"/>
    <row r="901" customFormat="1" ht="15" customHeight="1" x14ac:dyDescent="0.2"/>
    <row r="902" customFormat="1" ht="15" customHeight="1" x14ac:dyDescent="0.2"/>
    <row r="903" customFormat="1" ht="15" customHeight="1" x14ac:dyDescent="0.2"/>
    <row r="904" customFormat="1" ht="15" customHeight="1" x14ac:dyDescent="0.2"/>
    <row r="905" customFormat="1" ht="15" customHeight="1" x14ac:dyDescent="0.2"/>
    <row r="906" customFormat="1" ht="15" customHeight="1" x14ac:dyDescent="0.2"/>
    <row r="907" customFormat="1" ht="15" customHeight="1" x14ac:dyDescent="0.2"/>
    <row r="908" customFormat="1" ht="15" customHeight="1" x14ac:dyDescent="0.2"/>
    <row r="909" customFormat="1" ht="15" customHeight="1" x14ac:dyDescent="0.2"/>
    <row r="910" customFormat="1" ht="15" customHeight="1" x14ac:dyDescent="0.2"/>
    <row r="911" customFormat="1" ht="15" customHeight="1" x14ac:dyDescent="0.2"/>
    <row r="912" customFormat="1" ht="15" customHeight="1" x14ac:dyDescent="0.2"/>
    <row r="913" customFormat="1" ht="15" customHeight="1" x14ac:dyDescent="0.2"/>
    <row r="914" customFormat="1" ht="15" customHeight="1" x14ac:dyDescent="0.2"/>
    <row r="915" customFormat="1" ht="15" customHeight="1" x14ac:dyDescent="0.2"/>
    <row r="916" customFormat="1" ht="15" customHeight="1" x14ac:dyDescent="0.2"/>
    <row r="917" customFormat="1" ht="15" customHeight="1" x14ac:dyDescent="0.2"/>
    <row r="918" customFormat="1" ht="15" customHeight="1" x14ac:dyDescent="0.2"/>
    <row r="919" customFormat="1" ht="15" customHeight="1" x14ac:dyDescent="0.2"/>
    <row r="920" customFormat="1" ht="15" customHeight="1" x14ac:dyDescent="0.2"/>
    <row r="921" customFormat="1" ht="15" customHeight="1" x14ac:dyDescent="0.2"/>
    <row r="922" customFormat="1" ht="15" customHeight="1" x14ac:dyDescent="0.2"/>
    <row r="923" customFormat="1" ht="15" customHeight="1" x14ac:dyDescent="0.2"/>
    <row r="924" customFormat="1" ht="15" customHeight="1" x14ac:dyDescent="0.2"/>
    <row r="925" customFormat="1" ht="15" customHeight="1" x14ac:dyDescent="0.2"/>
    <row r="926" customFormat="1" ht="15" customHeight="1" x14ac:dyDescent="0.2"/>
    <row r="927" customFormat="1" ht="15" customHeight="1" x14ac:dyDescent="0.2"/>
    <row r="928" customFormat="1" ht="15" customHeight="1" x14ac:dyDescent="0.2"/>
    <row r="929" customFormat="1" ht="15" customHeight="1" x14ac:dyDescent="0.2"/>
    <row r="930" customFormat="1" ht="15" customHeight="1" x14ac:dyDescent="0.2"/>
    <row r="931" customFormat="1" ht="15" customHeight="1" x14ac:dyDescent="0.2"/>
    <row r="932" customFormat="1" ht="15" customHeight="1" x14ac:dyDescent="0.2"/>
    <row r="933" customFormat="1" ht="15" customHeight="1" x14ac:dyDescent="0.2"/>
    <row r="934" customFormat="1" ht="15" customHeight="1" x14ac:dyDescent="0.2"/>
    <row r="935" customFormat="1" ht="15" customHeight="1" x14ac:dyDescent="0.2"/>
    <row r="936" customFormat="1" ht="15" customHeight="1" x14ac:dyDescent="0.2"/>
    <row r="937" customFormat="1" ht="15" customHeight="1" x14ac:dyDescent="0.2"/>
    <row r="938" customFormat="1" ht="15" customHeight="1" x14ac:dyDescent="0.2"/>
    <row r="939" customFormat="1" ht="15" customHeight="1" x14ac:dyDescent="0.2"/>
    <row r="940" customFormat="1" ht="15" customHeight="1" x14ac:dyDescent="0.2"/>
    <row r="941" customFormat="1" ht="15" customHeight="1" x14ac:dyDescent="0.2"/>
    <row r="942" customFormat="1" ht="15" customHeight="1" x14ac:dyDescent="0.2"/>
    <row r="943" customFormat="1" ht="15" customHeight="1" x14ac:dyDescent="0.2"/>
    <row r="944" customFormat="1" ht="15" customHeight="1" x14ac:dyDescent="0.2"/>
    <row r="945" customFormat="1" ht="15" customHeight="1" x14ac:dyDescent="0.2"/>
    <row r="946" customFormat="1" ht="15" customHeight="1" x14ac:dyDescent="0.2"/>
    <row r="947" customFormat="1" ht="15" customHeight="1" x14ac:dyDescent="0.2"/>
    <row r="948" customFormat="1" ht="15" customHeight="1" x14ac:dyDescent="0.2"/>
    <row r="949" customFormat="1" ht="15" customHeight="1" x14ac:dyDescent="0.2"/>
    <row r="950" customFormat="1" ht="15" customHeight="1" x14ac:dyDescent="0.2"/>
    <row r="951" customFormat="1" ht="15" customHeight="1" x14ac:dyDescent="0.2"/>
    <row r="952" customFormat="1" ht="15" customHeight="1" x14ac:dyDescent="0.2"/>
    <row r="953" customFormat="1" ht="15" customHeight="1" x14ac:dyDescent="0.2"/>
    <row r="954" customFormat="1" ht="15" customHeight="1" x14ac:dyDescent="0.2"/>
    <row r="955" customFormat="1" ht="15" customHeight="1" x14ac:dyDescent="0.2"/>
    <row r="956" customFormat="1" ht="15" customHeight="1" x14ac:dyDescent="0.2"/>
    <row r="957" customFormat="1" ht="15" customHeight="1" x14ac:dyDescent="0.2"/>
    <row r="958" customFormat="1" ht="15" customHeight="1" x14ac:dyDescent="0.2"/>
    <row r="959" customFormat="1" ht="15" customHeight="1" x14ac:dyDescent="0.2"/>
    <row r="960" customFormat="1" ht="15" customHeight="1" x14ac:dyDescent="0.2"/>
    <row r="961" customFormat="1" ht="15" customHeight="1" x14ac:dyDescent="0.2"/>
    <row r="962" customFormat="1" ht="15" customHeight="1" x14ac:dyDescent="0.2"/>
    <row r="963" customFormat="1" ht="15" customHeight="1" x14ac:dyDescent="0.2"/>
    <row r="964" customFormat="1" ht="15" customHeight="1" x14ac:dyDescent="0.2"/>
    <row r="965" customFormat="1" ht="15" customHeight="1" x14ac:dyDescent="0.2"/>
    <row r="966" customFormat="1" ht="15" customHeight="1" x14ac:dyDescent="0.2"/>
    <row r="967" customFormat="1" ht="15" customHeight="1" x14ac:dyDescent="0.2"/>
    <row r="968" customFormat="1" ht="15" customHeight="1" x14ac:dyDescent="0.2"/>
    <row r="969" customFormat="1" ht="15" customHeight="1" x14ac:dyDescent="0.2"/>
    <row r="970" customFormat="1" ht="15" customHeight="1" x14ac:dyDescent="0.2"/>
    <row r="971" customFormat="1" ht="15" customHeight="1" x14ac:dyDescent="0.2"/>
    <row r="972" customFormat="1" ht="15" customHeight="1" x14ac:dyDescent="0.2"/>
    <row r="973" customFormat="1" ht="15" customHeight="1" x14ac:dyDescent="0.2"/>
    <row r="974" customFormat="1" ht="15" customHeight="1" x14ac:dyDescent="0.2"/>
    <row r="975" customFormat="1" ht="15" customHeight="1" x14ac:dyDescent="0.2"/>
    <row r="976" customFormat="1" ht="15" customHeight="1" x14ac:dyDescent="0.2"/>
    <row r="977" customFormat="1" ht="15" customHeight="1" x14ac:dyDescent="0.2"/>
    <row r="978" customFormat="1" ht="15" customHeight="1" x14ac:dyDescent="0.2"/>
    <row r="979" customFormat="1" ht="15" customHeight="1" x14ac:dyDescent="0.2"/>
    <row r="980" customFormat="1" ht="15" customHeight="1" x14ac:dyDescent="0.2"/>
    <row r="981" customFormat="1" ht="15" customHeight="1" x14ac:dyDescent="0.2"/>
    <row r="982" customFormat="1" ht="15" customHeight="1" x14ac:dyDescent="0.2"/>
    <row r="983" customFormat="1" ht="15" customHeight="1" x14ac:dyDescent="0.2"/>
    <row r="984" customFormat="1" ht="15" customHeight="1" x14ac:dyDescent="0.2"/>
    <row r="985" customFormat="1" ht="15" customHeight="1" x14ac:dyDescent="0.2"/>
    <row r="986" customFormat="1" ht="15" customHeight="1" x14ac:dyDescent="0.2"/>
    <row r="987" customFormat="1" ht="15" customHeight="1" x14ac:dyDescent="0.2"/>
    <row r="988" customFormat="1" ht="15" customHeight="1" x14ac:dyDescent="0.2"/>
    <row r="989" customFormat="1" ht="15" customHeight="1" x14ac:dyDescent="0.2"/>
    <row r="990" customFormat="1" ht="15" customHeight="1" x14ac:dyDescent="0.2"/>
    <row r="991" customFormat="1" ht="15" customHeight="1" x14ac:dyDescent="0.2"/>
    <row r="992" customFormat="1" ht="15" customHeight="1" x14ac:dyDescent="0.2"/>
    <row r="993" customFormat="1" ht="15" customHeight="1" x14ac:dyDescent="0.2"/>
    <row r="994" customFormat="1" ht="15" customHeight="1" x14ac:dyDescent="0.2"/>
    <row r="995" customFormat="1" ht="15" customHeight="1" x14ac:dyDescent="0.2"/>
    <row r="996" customFormat="1" ht="15" customHeight="1" x14ac:dyDescent="0.2"/>
    <row r="997" customFormat="1" ht="15" customHeight="1" x14ac:dyDescent="0.2"/>
    <row r="998" customFormat="1" ht="15" customHeight="1" x14ac:dyDescent="0.2"/>
    <row r="999" customFormat="1" ht="15" customHeight="1" x14ac:dyDescent="0.2"/>
    <row r="1000" customFormat="1" ht="15" customHeight="1" x14ac:dyDescent="0.2"/>
    <row r="1001" customFormat="1" ht="15" customHeight="1" x14ac:dyDescent="0.2"/>
    <row r="1002" customFormat="1" ht="15" customHeight="1" x14ac:dyDescent="0.2"/>
    <row r="1003" customFormat="1" ht="15" customHeight="1" x14ac:dyDescent="0.2"/>
    <row r="1004" customFormat="1" ht="15" customHeight="1" x14ac:dyDescent="0.2"/>
    <row r="1005" customFormat="1" ht="15" customHeight="1" x14ac:dyDescent="0.2"/>
    <row r="1006" customFormat="1" ht="15" customHeight="1" x14ac:dyDescent="0.2"/>
    <row r="1007" customFormat="1" ht="15" customHeight="1" x14ac:dyDescent="0.2"/>
    <row r="1008" customFormat="1" ht="15" customHeight="1" x14ac:dyDescent="0.2"/>
    <row r="1009" customFormat="1" ht="15" customHeight="1" x14ac:dyDescent="0.2"/>
    <row r="1010" customFormat="1" ht="15" customHeight="1" x14ac:dyDescent="0.2"/>
    <row r="1011" customFormat="1" ht="15" customHeight="1" x14ac:dyDescent="0.2"/>
    <row r="1012" customFormat="1" ht="15" customHeight="1" x14ac:dyDescent="0.2"/>
  </sheetData>
  <mergeCells count="14">
    <mergeCell ref="H8:H9"/>
    <mergeCell ref="I8:I9"/>
    <mergeCell ref="J8:J9"/>
    <mergeCell ref="B6:D6"/>
    <mergeCell ref="B7:D7"/>
    <mergeCell ref="U8:U9"/>
    <mergeCell ref="V8:V9"/>
    <mergeCell ref="W8:W9"/>
    <mergeCell ref="X8:X9"/>
    <mergeCell ref="K8:M8"/>
    <mergeCell ref="N8:O8"/>
    <mergeCell ref="P8:P9"/>
    <mergeCell ref="Q8:R8"/>
    <mergeCell ref="S8:T8"/>
  </mergeCells>
  <pageMargins left="0.511811024" right="0.511811024" top="0.78740157499999996" bottom="0.78740157499999996" header="0.31496062000000002" footer="0.31496062000000002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EEB93-1A83-C14F-9F8F-4562EF537FA1}">
  <dimension ref="B2:R1014"/>
  <sheetViews>
    <sheetView topLeftCell="B2" workbookViewId="0">
      <selection activeCell="J17" sqref="J17"/>
    </sheetView>
  </sheetViews>
  <sheetFormatPr baseColWidth="10" defaultColWidth="12.6640625" defaultRowHeight="16" x14ac:dyDescent="0.2"/>
  <cols>
    <col min="1" max="1" width="7.6640625" customWidth="1"/>
    <col min="2" max="2" width="64.5" customWidth="1"/>
    <col min="3" max="3" width="19.33203125" customWidth="1"/>
    <col min="4" max="5" width="7.6640625" customWidth="1"/>
    <col min="9" max="9" width="34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bestFit="1" customWidth="1"/>
    <col min="15" max="15" width="16" bestFit="1" customWidth="1"/>
    <col min="16" max="16" width="16" customWidth="1"/>
    <col min="17" max="17" width="16" customWidth="1"/>
  </cols>
  <sheetData>
    <row r="1" ht="16" customHeight="1"/>
    <row r="2" spans="2:17" ht="15" customHeight="1" x14ac:dyDescent="0.2">
      <c r="I2" t="inlineStr">
        <is>
          <t xml:space="preserve">Exercício 3 · Agrometal Oeste Ltda. · Custeio por absorção integral e ideal</t>
        </is>
      </c>
    </row>
    <row r="3" spans="2:17" hidden="1" x14ac:dyDescent="0.2" ht="16" customHeight="1"/>
    <row r="4" spans="2:17" ht="46" customHeight="1" x14ac:dyDescent="0.2">
      <c r="B4" s="150"/>
      <c r="C4" s="151"/>
      <c r="D4" s="151"/>
    </row>
    <row r="5" spans="2:17" x14ac:dyDescent="0.2" ht="16" customHeight="1">
      <c r="B5" s="152"/>
      <c r="C5" s="153"/>
      <c r="D5" s="153"/>
      <c r="E5" s="76"/>
      <c r="F5" s="76"/>
      <c r="G5" s="76"/>
      <c r="H5" s="76"/>
    </row>
    <row r="6" spans="2:17" ht="19" x14ac:dyDescent="0.25">
      <c r="B6" s="143" t="s">
        <v>19</v>
      </c>
      <c r="C6" s="37" t="s">
        <v>20</v>
      </c>
      <c r="D6" s="144" t="s">
        <v>14</v>
      </c>
      <c r="E6" s="76"/>
      <c r="F6" s="76"/>
      <c r="G6" s="76"/>
      <c r="H6" s="76"/>
      <c r="I6" s="149"/>
      <c r="J6" s="149"/>
      <c r="K6" s="149"/>
      <c r="L6" s="149"/>
      <c r="M6" s="149"/>
      <c r="N6" s="149"/>
      <c r="O6" s="149"/>
      <c r="P6" s="149"/>
      <c r="Q6" s="149"/>
    </row>
    <row r="7" spans="2:17" ht="20" thickBot="1" x14ac:dyDescent="0.3">
      <c r="B7" s="105"/>
      <c r="C7" s="76"/>
      <c r="D7" s="76"/>
      <c r="E7" s="76"/>
      <c r="F7" s="76"/>
      <c r="G7" s="76"/>
      <c r="H7" s="76"/>
      <c r="I7" s="63" t="s">
        <v>23</v>
      </c>
      <c r="J7" s="145" t="s">
        <v>26</v>
      </c>
      <c r="K7" s="64" t="s">
        <v>11</v>
      </c>
      <c r="L7" s="64" t="s">
        <v>3</v>
      </c>
      <c r="M7" s="64" t="s">
        <v>2</v>
      </c>
      <c r="N7" s="64" t="s">
        <v>24</v>
      </c>
      <c r="O7" s="64" t="s">
        <v>8</v>
      </c>
      <c r="P7" s="64" t="s">
        <v>9</v>
      </c>
      <c r="Q7" s="65" t="s">
        <v>25</v>
      </c>
    </row>
    <row r="8" spans="2:17" ht="18" thickTop="1" thickBot="1" x14ac:dyDescent="0.25">
      <c r="B8" s="126" t="s">
        <v>21</v>
      </c>
      <c r="C8" s="177">
        <v>12950000</v>
      </c>
      <c r="D8" s="201">
        <f>C8/$C$8</f>
        <v>1.0</v>
      </c>
      <c r="E8" s="76"/>
      <c r="F8" s="76"/>
      <c r="G8" s="76"/>
      <c r="H8" s="76"/>
      <c r="I8" s="106" t="inlineStr">
        <is>
          <t xml:space="preserve">A · Pulverizador 2.000 L</t>
        </is>
      </c>
      <c r="J8" s="206">
        <v>50</v>
      </c>
      <c r="K8" s="207">
        <v>48000</v>
      </c>
      <c r="L8" s="208">
        <f>$C$10/$C$8</f>
        <v>0.2</v>
      </c>
      <c r="M8" s="208">
        <f>($C$18-$C$19)/$C$8</f>
        <v>0.07</v>
      </c>
      <c r="N8" s="207">
        <f>$C$33/SUM($J$8:$J$12)</f>
        <v>24142.8571428571</v>
      </c>
      <c r="O8" s="207">
        <f>(K8+N8)/(1-(L8+M8))</f>
        <v>98825.831702544</v>
      </c>
      <c r="P8" s="208">
        <v>0.15</v>
      </c>
      <c r="Q8" s="209">
        <f>(K8+N8)/(1-(L8+M8+P8))</f>
        <v>124384.236453202</v>
      </c>
    </row>
    <row r="9" spans="2:17" ht="17" thickBot="1" x14ac:dyDescent="0.25">
      <c r="B9" s="77"/>
      <c r="C9" s="78"/>
      <c r="D9" s="79"/>
      <c r="E9" s="76"/>
      <c r="F9" s="76"/>
      <c r="G9" s="76"/>
      <c r="H9" s="76"/>
      <c r="I9" s="106" t="inlineStr">
        <is>
          <t xml:space="preserve">B · Plantadeira 9 linhas</t>
        </is>
      </c>
      <c r="J9" s="206">
        <v>30</v>
      </c>
      <c r="K9" s="207">
        <v>95000</v>
      </c>
      <c r="L9" s="208">
        <f>$C$10/$C$8</f>
        <v>0.2</v>
      </c>
      <c r="M9" s="208">
        <f>($C$18-$C$19)/$C$8</f>
        <v>0.07</v>
      </c>
      <c r="N9" s="207">
        <f>$C$33/SUM($J$8:$J$12)</f>
        <v>24142.8571428571</v>
      </c>
      <c r="O9" s="207">
        <f>(K9+N9)/(1-(L9+M9))</f>
        <v>163209.39334638</v>
      </c>
      <c r="P9" s="208">
        <v>0.18</v>
      </c>
      <c r="Q9" s="209">
        <f>(K9+N9)/(1-(L9+M9+P9))</f>
        <v>216623.376623377</v>
      </c>
    </row>
    <row r="10" spans="2:17" ht="17" thickBot="1" x14ac:dyDescent="0.25">
      <c r="B10" s="126" t="s">
        <v>22</v>
      </c>
      <c r="C10" s="177">
        <f>SUM(C11:C17)</f>
        <v>2590000.0</v>
      </c>
      <c r="D10" s="202">
        <f>C10/$C$8</f>
        <v>0.2</v>
      </c>
      <c r="E10" s="76"/>
      <c r="F10" s="76"/>
      <c r="G10" s="76"/>
      <c r="H10" s="76"/>
      <c r="I10" s="106" t="inlineStr">
        <is>
          <t xml:space="preserve">C · Carreta agrícola 6 t</t>
        </is>
      </c>
      <c r="J10" s="206">
        <v>60</v>
      </c>
      <c r="K10" s="207">
        <v>17000</v>
      </c>
      <c r="L10" s="208">
        <f>$C$10/$C$8</f>
        <v>0.2</v>
      </c>
      <c r="M10" s="208">
        <f>($C$18-$C$19)/$C$8</f>
        <v>0.07</v>
      </c>
      <c r="N10" s="207">
        <f>$C$33/SUM($J$8:$J$12)</f>
        <v>24142.8571428571</v>
      </c>
      <c r="O10" s="207">
        <f>(K10+N10)/(1-(L10+M10))</f>
        <v>56360.0782778865</v>
      </c>
      <c r="P10" s="208">
        <v>0.1</v>
      </c>
      <c r="Q10" s="209">
        <f>(K10+N10)/(1-(L10+M10+P10))</f>
        <v>65306.1224489796</v>
      </c>
    </row>
    <row r="11" spans="2:17" x14ac:dyDescent="0.2" ht="16" customHeight="1">
      <c r="B11" s="128" t="inlineStr">
        <is>
          <t xml:space="preserve">Comissão das revendas</t>
        </is>
      </c>
      <c r="C11" s="180">
        <v>647500</v>
      </c>
      <c r="D11" s="204">
        <f>C11/$C$8</f>
        <v>0.05</v>
      </c>
      <c r="E11" s="76"/>
      <c r="F11" s="76"/>
      <c r="G11" s="76"/>
      <c r="H11" s="76"/>
      <c r="I11" s="110"/>
      <c r="J11" s="147"/>
      <c r="K11" s="111"/>
      <c r="L11" s="112"/>
      <c r="M11" s="112"/>
      <c r="N11" s="111"/>
      <c r="O11" s="111"/>
      <c r="P11" s="112"/>
      <c r="Q11" s="113"/>
    </row>
    <row r="12" spans="2:17" ht="17" thickBot="1" x14ac:dyDescent="0.25">
      <c r="B12" s="128" t="inlineStr">
        <is>
          <t xml:space="preserve">Despesas com publicidade proporcional às vendas (feiras)</t>
        </is>
      </c>
      <c r="C12" s="180">
        <v>129500</v>
      </c>
      <c r="D12" s="204">
        <f>C12/$C$8</f>
        <v>0.01</v>
      </c>
      <c r="E12" s="76"/>
      <c r="F12" s="76"/>
      <c r="G12" s="76"/>
      <c r="H12" s="76"/>
      <c r="I12" s="114"/>
      <c r="J12" s="148"/>
      <c r="K12" s="115"/>
      <c r="L12" s="116"/>
      <c r="M12" s="116"/>
      <c r="N12" s="115"/>
      <c r="O12" s="115"/>
      <c r="P12" s="116"/>
      <c r="Q12" s="117"/>
    </row>
    <row r="13" spans="2:17" x14ac:dyDescent="0.2" ht="16" customHeight="1">
      <c r="B13" s="128" t="inlineStr">
        <is>
          <t xml:space="preserve">Frete de entrega</t>
        </is>
      </c>
      <c r="C13" s="180">
        <v>259000</v>
      </c>
      <c r="D13" s="204">
        <f>C13/$C$8</f>
        <v>0.02</v>
      </c>
      <c r="E13" s="76"/>
      <c r="F13" s="76"/>
      <c r="G13" s="76"/>
      <c r="H13" s="76"/>
      <c r="I13" s="76" t="inlineStr">
        <is>
          <t xml:space="preserve">Integral: QUANT. = produção do mês; CF unit = CF ÷ Σ produzido</t>
        </is>
      </c>
      <c r="J13" s="76"/>
      <c r="K13" s="76"/>
      <c r="L13" s="76"/>
      <c r="M13" s="76"/>
      <c r="N13" s="76"/>
      <c r="O13" s="76"/>
      <c r="P13" s="76"/>
      <c r="Q13" s="76"/>
    </row>
    <row r="14" spans="2:17" x14ac:dyDescent="0.2" ht="16" customHeight="1">
      <c r="B14" s="128" t="inlineStr">
        <is>
          <t xml:space="preserve">Impostos sobre as vendas</t>
        </is>
      </c>
      <c r="C14" s="180">
        <v>1554000</v>
      </c>
      <c r="D14" s="204">
        <f>C14/$C$8</f>
        <v>0.12</v>
      </c>
      <c r="E14" s="76"/>
      <c r="F14" s="76"/>
      <c r="G14" s="76"/>
      <c r="H14" s="76"/>
    </row>
    <row r="15" spans="2:17" x14ac:dyDescent="0.2" ht="16" customHeight="1">
      <c r="B15" s="128"/>
      <c r="C15" s="82"/>
      <c r="D15" s="129"/>
      <c r="E15" s="76"/>
      <c r="F15" s="76"/>
      <c r="G15" s="76"/>
      <c r="H15" s="76"/>
    </row>
    <row r="16" spans="2:17" ht="19" x14ac:dyDescent="0.25">
      <c r="B16" s="130"/>
      <c r="C16" s="85"/>
      <c r="D16" s="129"/>
      <c r="E16" s="76"/>
      <c r="F16" s="76"/>
      <c r="G16" s="76"/>
      <c r="H16" s="76"/>
      <c r="I16" s="104"/>
      <c r="J16" s="104"/>
      <c r="K16" s="104"/>
      <c r="L16" s="104"/>
      <c r="M16" s="104"/>
      <c r="N16" s="104"/>
      <c r="O16" s="104"/>
      <c r="P16" s="104"/>
      <c r="Q16" s="104"/>
    </row>
    <row r="17" spans="2:18" ht="20" thickBot="1" x14ac:dyDescent="0.3">
      <c r="B17" s="130"/>
      <c r="C17" s="85"/>
      <c r="D17" s="129"/>
      <c r="E17" s="76"/>
      <c r="F17" s="76"/>
      <c r="G17" s="76"/>
      <c r="H17" s="76"/>
      <c r="I17" s="63" t="s">
        <v>23</v>
      </c>
      <c r="J17" s="145" t="s">
        <v>26</v>
      </c>
      <c r="K17" s="64" t="s">
        <v>11</v>
      </c>
      <c r="L17" s="64" t="s">
        <v>3</v>
      </c>
      <c r="M17" s="64" t="s">
        <v>2</v>
      </c>
      <c r="N17" s="64" t="s">
        <v>24</v>
      </c>
      <c r="O17" s="64" t="s">
        <v>8</v>
      </c>
      <c r="P17" s="64" t="s">
        <v>9</v>
      </c>
      <c r="Q17" s="65" t="s">
        <v>25</v>
      </c>
    </row>
    <row r="18" spans="2:18" ht="18" thickTop="1" thickBot="1" x14ac:dyDescent="0.25">
      <c r="B18" s="131"/>
      <c r="C18" s="177">
        <f>SUM(C19:C28)</f>
        <v>6221500.0</v>
      </c>
      <c r="D18" s="202">
        <f>C18/$C$8</f>
        <v>0.48042471042471</v>
      </c>
      <c r="E18" s="76"/>
      <c r="F18" s="76"/>
      <c r="G18" s="76"/>
      <c r="H18" s="76"/>
      <c r="I18" s="106" t="inlineStr">
        <is>
          <t xml:space="preserve">A · Pulverizador 2.000 L</t>
        </is>
      </c>
      <c r="J18" s="206">
        <v>40</v>
      </c>
      <c r="K18" s="207">
        <v>48000</v>
      </c>
      <c r="L18" s="208">
        <f>$C$10/$C$8</f>
        <v>0.2</v>
      </c>
      <c r="M18" s="208">
        <f>($C$18-$C$19)/$C$8</f>
        <v>0.07</v>
      </c>
      <c r="N18" s="207">
        <f>$C$33/SUM($J$18:$J$23)</f>
        <v>27040.0</v>
      </c>
      <c r="O18" s="207">
        <f>(K18+N18)/(1-(L18+M18))</f>
        <v>102794.520547945</v>
      </c>
      <c r="P18" s="208">
        <v>0.15</v>
      </c>
      <c r="Q18" s="209">
        <f>(K18+N18)/(1-(L18+M18+P18))</f>
        <v>129379.310344828</v>
      </c>
      <c r="R18" s="76"/>
    </row>
    <row r="19" spans="2:18" x14ac:dyDescent="0.2" ht="16" customHeight="1">
      <c r="B19" s="128" t="inlineStr">
        <is>
          <t xml:space="preserve">Matéria-prima (aço, componentes hidráulicos, pneus)</t>
        </is>
      </c>
      <c r="C19" s="180">
        <v>5315000</v>
      </c>
      <c r="D19" s="204">
        <f>C19/$C$8</f>
        <v>0.41042471042471</v>
      </c>
      <c r="E19" s="76"/>
      <c r="F19" s="76"/>
      <c r="G19" s="76"/>
      <c r="H19" s="76"/>
      <c r="I19" s="106" t="inlineStr">
        <is>
          <t xml:space="preserve">B · Plantadeira 9 linhas</t>
        </is>
      </c>
      <c r="J19" s="206">
        <v>25</v>
      </c>
      <c r="K19" s="207">
        <v>95000</v>
      </c>
      <c r="L19" s="208">
        <f>$C$10/$C$8</f>
        <v>0.2</v>
      </c>
      <c r="M19" s="208">
        <f>($C$18-$C$19)/$C$8</f>
        <v>0.07</v>
      </c>
      <c r="N19" s="207">
        <f>$C$33/SUM($J$18:$J$23)</f>
        <v>27040.0</v>
      </c>
      <c r="O19" s="207">
        <f>(K19+N19)/(1-(L19+M19))</f>
        <v>167178.082191781</v>
      </c>
      <c r="P19" s="208">
        <v>0.18</v>
      </c>
      <c r="Q19" s="209">
        <f>(K19+N19)/(1-(L19+M19+P19))</f>
        <v>221890.909090909</v>
      </c>
      <c r="R19" s="76"/>
    </row>
    <row r="20" spans="2:18" x14ac:dyDescent="0.2" ht="16" customHeight="1">
      <c r="B20" s="128" t="inlineStr">
        <is>
          <t xml:space="preserve">Energia elétrica da fábrica</t>
        </is>
      </c>
      <c r="C20" s="180">
        <v>259000</v>
      </c>
      <c r="D20" s="204">
        <f>C20/$C$8</f>
        <v>0.02</v>
      </c>
      <c r="E20" s="76"/>
      <c r="F20" s="76"/>
      <c r="G20" s="76"/>
      <c r="H20" s="76"/>
      <c r="I20" s="106" t="inlineStr">
        <is>
          <t xml:space="preserve">C · Carreta agrícola 6 t</t>
        </is>
      </c>
      <c r="J20" s="206">
        <v>60</v>
      </c>
      <c r="K20" s="207">
        <v>17000</v>
      </c>
      <c r="L20" s="208">
        <f>$C$10/$C$8</f>
        <v>0.2</v>
      </c>
      <c r="M20" s="208">
        <f>($C$18-$C$19)/$C$8</f>
        <v>0.07</v>
      </c>
      <c r="N20" s="207">
        <f>$C$33/SUM($J$18:$J$23)</f>
        <v>27040.0</v>
      </c>
      <c r="O20" s="207">
        <f>(K20+N20)/(1-(L20+M20))</f>
        <v>60328.7671232877</v>
      </c>
      <c r="P20" s="208">
        <v>0.1</v>
      </c>
      <c r="Q20" s="209">
        <f>(K20+N20)/(1-(L20+M20+P20))</f>
        <v>69904.7619047619</v>
      </c>
      <c r="R20" s="76"/>
    </row>
    <row r="21" spans="2:18" x14ac:dyDescent="0.2" ht="16" customHeight="1">
      <c r="B21" s="128" t="inlineStr">
        <is>
          <t xml:space="preserve">Fretes sobre compras de aço</t>
        </is>
      </c>
      <c r="C21" s="181">
        <v>129500</v>
      </c>
      <c r="D21" s="204">
        <f>C21/$C$8</f>
        <v>0.01</v>
      </c>
      <c r="E21" s="76"/>
      <c r="F21" s="76"/>
      <c r="G21" s="76"/>
      <c r="H21" s="76"/>
      <c r="I21" s="110"/>
      <c r="J21" s="147"/>
      <c r="K21" s="111"/>
      <c r="L21" s="112"/>
      <c r="M21" s="112"/>
      <c r="N21" s="111"/>
      <c r="O21" s="111"/>
      <c r="P21" s="112"/>
      <c r="Q21" s="113"/>
      <c r="R21" s="76"/>
    </row>
    <row r="22" spans="2:18" x14ac:dyDescent="0.2" ht="16" customHeight="1">
      <c r="B22" s="128" t="inlineStr">
        <is>
          <t xml:space="preserve">Gastos gerais com fabricação do produto (eletrodos, tintas)</t>
        </is>
      </c>
      <c r="C22" s="182">
        <v>388500</v>
      </c>
      <c r="D22" s="205">
        <f>C22/$C$8</f>
        <v>0.03</v>
      </c>
      <c r="E22" s="76"/>
      <c r="F22" s="76"/>
      <c r="G22" s="76"/>
      <c r="H22" s="76"/>
      <c r="I22" s="110"/>
      <c r="J22" s="147"/>
      <c r="K22" s="111"/>
      <c r="L22" s="112"/>
      <c r="M22" s="112"/>
      <c r="N22" s="111"/>
      <c r="O22" s="111"/>
      <c r="P22" s="112"/>
      <c r="Q22" s="113"/>
      <c r="R22" s="76"/>
    </row>
    <row r="23" spans="2:18" x14ac:dyDescent="0.2" ht="16" customHeight="1">
      <c r="B23" s="128" t="inlineStr">
        <is>
          <t xml:space="preserve">Manutenção de máquinas e equipamentos da produção</t>
        </is>
      </c>
      <c r="C23" s="182">
        <v>129500</v>
      </c>
      <c r="D23" s="205">
        <f>C23/$C$8</f>
        <v>0.01</v>
      </c>
      <c r="E23" s="76"/>
      <c r="F23" s="76"/>
      <c r="G23" s="76"/>
      <c r="H23" s="76"/>
      <c r="I23" s="110"/>
      <c r="J23" s="147"/>
      <c r="K23" s="111"/>
      <c r="L23" s="112"/>
      <c r="M23" s="112"/>
      <c r="N23" s="111"/>
      <c r="O23" s="111"/>
      <c r="P23" s="112"/>
      <c r="Q23" s="113"/>
      <c r="R23" s="76"/>
    </row>
    <row r="24" spans="2:18" ht="17" thickBot="1" x14ac:dyDescent="0.25">
      <c r="B24" s="135"/>
      <c r="C24" s="124"/>
      <c r="D24" s="134"/>
      <c r="E24" s="76"/>
      <c r="F24" s="76"/>
      <c r="G24" s="76"/>
      <c r="H24" s="76"/>
      <c r="I24" s="114" t="inlineStr">
        <is>
          <t xml:space="preserve">Ideal: QUANT. = vendas do mês; CF unit = CF ÷ Σ vendido</t>
        </is>
      </c>
      <c r="J24" s="148"/>
      <c r="K24" s="115"/>
      <c r="L24" s="116"/>
      <c r="M24" s="116"/>
      <c r="N24" s="115"/>
      <c r="O24" s="115"/>
      <c r="P24" s="116"/>
      <c r="Q24" s="117"/>
      <c r="R24" s="76"/>
    </row>
    <row r="25" spans="2:18" x14ac:dyDescent="0.2" ht="16" customHeight="1">
      <c r="B25" s="128"/>
      <c r="C25" s="82"/>
      <c r="D25" s="13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</row>
    <row r="26" spans="2:18" x14ac:dyDescent="0.2" ht="16" customHeight="1">
      <c r="B26" s="130"/>
      <c r="C26" s="85"/>
      <c r="D26" s="13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</row>
    <row r="27" spans="2:18" x14ac:dyDescent="0.2" ht="16" customHeight="1">
      <c r="B27" s="130"/>
      <c r="C27" s="85"/>
      <c r="D27" s="13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</row>
    <row r="28" spans="2:18" ht="17" thickBot="1" x14ac:dyDescent="0.25">
      <c r="B28" s="130"/>
      <c r="C28" s="87"/>
      <c r="D28" s="129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</row>
    <row r="29" spans="2:18" ht="17" thickBot="1" x14ac:dyDescent="0.25">
      <c r="B29" s="131"/>
      <c r="C29" s="177">
        <f>C10+C18</f>
        <v>8811500.0</v>
      </c>
      <c r="D29" s="202">
        <f>C29/$C$8</f>
        <v>0.68042471042471</v>
      </c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</row>
    <row r="30" spans="2:18" ht="17" thickBot="1" x14ac:dyDescent="0.25">
      <c r="B30" s="137"/>
      <c r="C30" s="87"/>
      <c r="D30" s="138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</row>
    <row r="31" spans="2:18" ht="15.75" customHeight="1" thickBot="1" x14ac:dyDescent="0.25">
      <c r="B31" s="131"/>
      <c r="C31" s="177">
        <f>C8-C29</f>
        <v>4138500.0</v>
      </c>
      <c r="D31" s="202">
        <f>C31/$C$8</f>
        <v>0.31957528957529</v>
      </c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</row>
    <row r="32" spans="2:18" ht="15.75" customHeight="1" thickBot="1" x14ac:dyDescent="0.25">
      <c r="B32" s="132"/>
      <c r="C32" s="78"/>
      <c r="D32" s="139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</row>
    <row r="33" spans="2:18" ht="15.75" customHeight="1" thickBot="1" x14ac:dyDescent="0.25">
      <c r="B33" s="131"/>
      <c r="C33" s="178">
        <f>SUM(C34:C45)</f>
        <v>3380000.0</v>
      </c>
      <c r="D33" s="202">
        <f>C33/$C$8</f>
        <v>0.261003861003861</v>
      </c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</row>
    <row r="34" spans="2:18" ht="15.75" customHeight="1" x14ac:dyDescent="0.2">
      <c r="B34" s="130" t="inlineStr">
        <is>
          <t xml:space="preserve">Água utilizada na administração</t>
        </is>
      </c>
      <c r="C34" s="183">
        <v>6000</v>
      </c>
      <c r="D34" s="204">
        <f>C34/$C$8</f>
        <v>0.000463320463320463</v>
      </c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</row>
    <row r="35" spans="2:18" ht="15.75" customHeight="1" x14ac:dyDescent="0.2">
      <c r="B35" s="130" t="inlineStr">
        <is>
          <t xml:space="preserve">Aluguel do pátio de expedição</t>
        </is>
      </c>
      <c r="C35" s="183">
        <v>200000</v>
      </c>
      <c r="D35" s="204">
        <f>C35/$C$8</f>
        <v>0.0154440154440154</v>
      </c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</row>
    <row r="36" spans="2:18" ht="15.75" customHeight="1" x14ac:dyDescent="0.2">
      <c r="B36" s="130" t="inlineStr">
        <is>
          <t xml:space="preserve">Depreciação de equipamentos</t>
        </is>
      </c>
      <c r="C36" s="183">
        <v>420000</v>
      </c>
      <c r="D36" s="204">
        <f>C36/$C$8</f>
        <v>0.0324324324324324</v>
      </c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</row>
    <row r="37" spans="2:18" ht="15.75" customHeight="1" x14ac:dyDescent="0.2">
      <c r="B37" s="130" t="inlineStr">
        <is>
          <t xml:space="preserve">Honorários contábeis</t>
        </is>
      </c>
      <c r="C37" s="183">
        <v>28000</v>
      </c>
      <c r="D37" s="204">
        <f>C37/$C$8</f>
        <v>0.00216216216216216</v>
      </c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</row>
    <row r="38" spans="2:18" ht="15.75" customHeight="1" x14ac:dyDescent="0.2">
      <c r="B38" s="130" t="inlineStr">
        <is>
          <t xml:space="preserve">Manutenção de equipamentos de escritório</t>
        </is>
      </c>
      <c r="C38" s="183">
        <v>12000</v>
      </c>
      <c r="D38" s="204">
        <f>C38/$C$8</f>
        <v>0.000926640926640927</v>
      </c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</row>
    <row r="39" spans="2:18" ht="15.75" customHeight="1" x14ac:dyDescent="0.2">
      <c r="B39" s="130" t="inlineStr">
        <is>
          <t xml:space="preserve">Material de limpeza</t>
        </is>
      </c>
      <c r="C39" s="183">
        <v>9000</v>
      </c>
      <c r="D39" s="204">
        <f>C39/$C$8</f>
        <v>0.000694980694980695</v>
      </c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</row>
    <row r="40" spans="2:18" ht="15.75" customHeight="1" x14ac:dyDescent="0.2">
      <c r="B40" s="130" t="inlineStr">
        <is>
          <t xml:space="preserve">Pró-labore</t>
        </is>
      </c>
      <c r="C40" s="183">
        <v>150000</v>
      </c>
      <c r="D40" s="204">
        <f>C40/$C$8</f>
        <v>0.0115830115830116</v>
      </c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</row>
    <row r="41" spans="2:18" ht="15.75" customHeight="1" x14ac:dyDescent="0.2">
      <c r="B41" s="130" t="inlineStr">
        <is>
          <t xml:space="preserve">Salários</t>
        </is>
      </c>
      <c r="C41" s="183">
        <v>2300000</v>
      </c>
      <c r="D41" s="204">
        <f>C41/$C$8</f>
        <v>0.177606177606178</v>
      </c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</row>
    <row r="42" spans="2:18" ht="15.75" customHeight="1" x14ac:dyDescent="0.2">
      <c r="B42" s="130" t="inlineStr">
        <is>
          <t xml:space="preserve">Seguros</t>
        </is>
      </c>
      <c r="C42" s="183">
        <v>60000</v>
      </c>
      <c r="D42" s="204">
        <f>C42/$C$8</f>
        <v>0.00463320463320463</v>
      </c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</row>
    <row r="43" spans="2:18" ht="15.75" customHeight="1" thickBot="1" x14ac:dyDescent="0.25">
      <c r="B43" s="130" t="inlineStr">
        <is>
          <t xml:space="preserve">Suprimentos para escritório</t>
        </is>
      </c>
      <c r="C43" s="183">
        <v>15000</v>
      </c>
      <c r="D43" s="204">
        <f>C43/$C$8</f>
        <v>0.00115830115830116</v>
      </c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</row>
    <row r="44" spans="2:18" ht="15.75" customHeight="1" thickBot="1" x14ac:dyDescent="0.25">
      <c r="B44" s="130" t="inlineStr">
        <is>
          <t xml:space="preserve">Telefone e internet</t>
        </is>
      </c>
      <c r="C44" s="183">
        <v>20000</v>
      </c>
      <c r="D44" s="204">
        <f>C44/$C$8</f>
        <v>0.00154440154440154</v>
      </c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</row>
    <row r="45" spans="2:18" ht="15.75" customHeight="1" thickBot="1" x14ac:dyDescent="0.25">
      <c r="B45" s="130" t="inlineStr">
        <is>
          <t xml:space="preserve">Vale-refeição</t>
        </is>
      </c>
      <c r="C45" s="183">
        <v>160000</v>
      </c>
      <c r="D45" s="204">
        <f>C45/$C$8</f>
        <v>0.0123552123552124</v>
      </c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</row>
    <row r="46" spans="2:18" ht="15.75" customHeight="1" thickBot="1" x14ac:dyDescent="0.25">
      <c r="B46" s="131"/>
      <c r="C46" s="179">
        <f>C31-C33</f>
        <v>758500.0</v>
      </c>
      <c r="D46" s="203">
        <f>C46/$C$8</f>
        <v>0.0585714285714286</v>
      </c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</row>
    <row r="47" spans="2:18" ht="15.75" customHeight="1" x14ac:dyDescent="0.2"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</row>
    <row r="48" spans="2:18" ht="15.75" customHeight="1" x14ac:dyDescent="0.2"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</row>
    <row r="49" spans="2:18" ht="15.75" customHeight="1" x14ac:dyDescent="0.2"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</row>
    <row r="50" spans="2:18" ht="15.75" customHeight="1" x14ac:dyDescent="0.2"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</row>
    <row r="51" spans="2:18" ht="15.75" customHeight="1" x14ac:dyDescent="0.2"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</row>
    <row r="52" spans="2:18" ht="15.75" customHeight="1" x14ac:dyDescent="0.2"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</row>
    <row r="53" spans="2:18" ht="15.75" customHeight="1" x14ac:dyDescent="0.2"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</row>
    <row r="54" spans="2:18" ht="15.75" customHeight="1" x14ac:dyDescent="0.2"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</row>
    <row r="55" spans="2:18" ht="15.75" customHeight="1" x14ac:dyDescent="0.2"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</row>
    <row r="56" spans="2:18" ht="15.75" customHeight="1" x14ac:dyDescent="0.2"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</row>
    <row r="57" spans="2:18" ht="15.75" customHeight="1" x14ac:dyDescent="0.2"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</row>
    <row r="58" spans="2:18" ht="15.75" customHeight="1" x14ac:dyDescent="0.2"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</row>
    <row r="59" spans="2:18" ht="15.75" customHeight="1" x14ac:dyDescent="0.2"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</row>
    <row r="60" spans="2:18" ht="15.75" customHeight="1" x14ac:dyDescent="0.2"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</row>
    <row r="61" spans="2:18" ht="15.75" customHeight="1" x14ac:dyDescent="0.2"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</row>
    <row r="62" spans="2:18" ht="15.75" customHeight="1" x14ac:dyDescent="0.2"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</row>
    <row r="63" spans="2:18" ht="15.75" customHeight="1" x14ac:dyDescent="0.2"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</row>
    <row r="64" spans="2:18" ht="15.75" customHeight="1" x14ac:dyDescent="0.2"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</row>
    <row r="65" spans="2:18" ht="15.75" customHeight="1" x14ac:dyDescent="0.2"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</row>
    <row r="66" spans="2:18" ht="15.75" customHeight="1" x14ac:dyDescent="0.2"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</row>
    <row r="67" spans="2:18" ht="15.75" customHeight="1" x14ac:dyDescent="0.2"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</row>
    <row r="68" spans="2:18" ht="15.75" customHeight="1" x14ac:dyDescent="0.2"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</row>
    <row r="69" spans="2:18" ht="15.75" customHeight="1" x14ac:dyDescent="0.2"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</row>
    <row r="70" spans="2:18" ht="15.75" customHeight="1" x14ac:dyDescent="0.2"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</row>
    <row r="71" spans="2:18" ht="15.75" customHeight="1" x14ac:dyDescent="0.2"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</row>
    <row r="72" spans="2:18" ht="15.75" customHeight="1" x14ac:dyDescent="0.2"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</row>
    <row r="73" spans="2:18" ht="15.75" customHeight="1" x14ac:dyDescent="0.2"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</row>
    <row r="74" spans="2:18" ht="15.75" customHeight="1" x14ac:dyDescent="0.2"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</row>
    <row r="75" spans="2:18" ht="15.75" customHeight="1" x14ac:dyDescent="0.2"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</row>
    <row r="76" spans="2:18" ht="15.75" customHeight="1" x14ac:dyDescent="0.2"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</row>
    <row r="77" spans="2:18" ht="15.75" customHeight="1" x14ac:dyDescent="0.2"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</row>
    <row r="78" spans="2:18" ht="15.75" customHeight="1" x14ac:dyDescent="0.2"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</row>
    <row r="79" spans="2:18" ht="15.75" customHeight="1" x14ac:dyDescent="0.2"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</row>
    <row r="80" spans="2:18" ht="15.75" customHeight="1" x14ac:dyDescent="0.2"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</row>
    <row r="81" spans="2:18" ht="15.75" customHeight="1" x14ac:dyDescent="0.2"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</row>
    <row r="82" spans="2:18" ht="15.75" customHeight="1" x14ac:dyDescent="0.2"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</row>
    <row r="83" spans="2:18" ht="15.75" customHeight="1" x14ac:dyDescent="0.2"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</row>
    <row r="84" spans="2:18" ht="15.75" customHeight="1" x14ac:dyDescent="0.2"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</row>
    <row r="85" spans="2:18" ht="15.75" customHeight="1" x14ac:dyDescent="0.2"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</row>
    <row r="86" spans="2:18" ht="15.75" customHeight="1" x14ac:dyDescent="0.2"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</row>
    <row r="87" spans="2:18" ht="15.75" customHeight="1" x14ac:dyDescent="0.2"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</row>
    <row r="88" spans="2:18" ht="15.75" customHeight="1" x14ac:dyDescent="0.2"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</row>
    <row r="89" spans="2:18" ht="15.75" customHeight="1" x14ac:dyDescent="0.2"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</row>
    <row r="90" spans="2:18" ht="15.75" customHeight="1" x14ac:dyDescent="0.2"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</row>
    <row r="91" spans="2:18" ht="15.75" customHeight="1" x14ac:dyDescent="0.2"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</row>
    <row r="92" spans="2:18" ht="15.75" customHeight="1" x14ac:dyDescent="0.2"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</row>
    <row r="93" spans="2:18" ht="15.75" customHeight="1" x14ac:dyDescent="0.2"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</row>
    <row r="94" spans="2:18" ht="15.75" customHeight="1" x14ac:dyDescent="0.2"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</row>
    <row r="95" spans="2:18" ht="15.75" customHeight="1" x14ac:dyDescent="0.2"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</row>
    <row r="96" spans="2:18" ht="15.75" customHeight="1" x14ac:dyDescent="0.2"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</row>
    <row r="97" spans="2:18" ht="15.75" customHeight="1" x14ac:dyDescent="0.2"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</row>
    <row r="98" spans="2:18" ht="15.75" customHeight="1" x14ac:dyDescent="0.2"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</row>
    <row r="99" spans="2:18" ht="15.75" customHeight="1" x14ac:dyDescent="0.2"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</row>
    <row r="100" spans="2:18" ht="15.75" customHeight="1" x14ac:dyDescent="0.2"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</row>
    <row r="101" spans="2:18" ht="15.75" customHeight="1" x14ac:dyDescent="0.2"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</row>
    <row r="102" spans="2:18" ht="15.75" customHeight="1" x14ac:dyDescent="0.2"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</row>
    <row r="103" spans="2:18" ht="15.75" customHeight="1" x14ac:dyDescent="0.2"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</row>
    <row r="104" spans="2:18" ht="15.75" customHeight="1" x14ac:dyDescent="0.2"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</row>
    <row r="105" spans="2:18" ht="15.75" customHeight="1" x14ac:dyDescent="0.2"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</row>
    <row r="106" spans="2:18" ht="15.75" customHeight="1" x14ac:dyDescent="0.2"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</row>
    <row r="107" spans="2:18" ht="15.75" customHeight="1" x14ac:dyDescent="0.2"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</row>
    <row r="108" spans="2:18" ht="15.75" customHeight="1" x14ac:dyDescent="0.2"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</row>
    <row r="109" spans="2:18" ht="15.75" customHeight="1" x14ac:dyDescent="0.2"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</row>
    <row r="110" spans="2:18" ht="15.75" customHeight="1" x14ac:dyDescent="0.2"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</row>
    <row r="111" spans="2:18" ht="15.75" customHeight="1" x14ac:dyDescent="0.2"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</row>
    <row r="112" spans="2:18" ht="15.75" customHeight="1" x14ac:dyDescent="0.2"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</row>
    <row r="113" spans="2:18" ht="15.75" customHeight="1" x14ac:dyDescent="0.2"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</row>
    <row r="114" spans="2:18" ht="15.75" customHeight="1" x14ac:dyDescent="0.2"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</row>
    <row r="115" spans="2:18" ht="15.75" customHeight="1" x14ac:dyDescent="0.2"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</row>
    <row r="116" spans="2:18" ht="15.75" customHeight="1" x14ac:dyDescent="0.2"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</row>
    <row r="117" spans="2:18" ht="15.75" customHeight="1" x14ac:dyDescent="0.2"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</row>
    <row r="118" spans="2:18" ht="15.75" customHeight="1" x14ac:dyDescent="0.2"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</row>
    <row r="119" spans="2:18" ht="15.75" customHeight="1" x14ac:dyDescent="0.2"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</row>
    <row r="120" spans="2:18" ht="15.75" customHeight="1" x14ac:dyDescent="0.2"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</row>
    <row r="121" spans="2:18" ht="15.75" customHeight="1" x14ac:dyDescent="0.2"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</row>
    <row r="122" spans="2:18" ht="15.75" customHeight="1" x14ac:dyDescent="0.2"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</row>
    <row r="123" spans="2:18" ht="15.75" customHeight="1" x14ac:dyDescent="0.2"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</row>
    <row r="124" spans="2:18" ht="15.75" customHeight="1" x14ac:dyDescent="0.2"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</row>
    <row r="125" spans="2:18" ht="15.75" customHeight="1" x14ac:dyDescent="0.2"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</row>
    <row r="126" spans="2:18" ht="15.75" customHeight="1" x14ac:dyDescent="0.2"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</row>
    <row r="127" spans="2:18" ht="15.75" customHeight="1" x14ac:dyDescent="0.2"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</row>
    <row r="128" spans="2:18" ht="15.75" customHeight="1" x14ac:dyDescent="0.2"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</row>
    <row r="129" spans="2:18" ht="15.75" customHeight="1" x14ac:dyDescent="0.2"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</row>
    <row r="130" spans="2:18" ht="15.75" customHeight="1" x14ac:dyDescent="0.2"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</row>
    <row r="131" spans="2:18" ht="15.75" customHeight="1" x14ac:dyDescent="0.2"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</row>
    <row r="132" spans="2:18" ht="15.75" customHeight="1" x14ac:dyDescent="0.2"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</row>
    <row r="133" spans="2:18" ht="15.75" customHeight="1" x14ac:dyDescent="0.2"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</row>
    <row r="134" spans="2:18" ht="15.75" customHeight="1" x14ac:dyDescent="0.2"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</row>
    <row r="135" spans="2:18" ht="15.75" customHeight="1" x14ac:dyDescent="0.2"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</row>
    <row r="136" spans="2:18" ht="15.75" customHeight="1" x14ac:dyDescent="0.2"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</row>
    <row r="137" spans="2:18" ht="15.75" customHeight="1" x14ac:dyDescent="0.2"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</row>
    <row r="138" spans="2:18" ht="15.75" customHeight="1" x14ac:dyDescent="0.2"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</row>
    <row r="139" spans="2:18" ht="15.75" customHeight="1" x14ac:dyDescent="0.2"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</row>
    <row r="140" spans="2:18" ht="15.75" customHeight="1" x14ac:dyDescent="0.2"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</row>
    <row r="141" spans="2:18" ht="15.75" customHeight="1" x14ac:dyDescent="0.2"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</row>
    <row r="142" spans="2:18" ht="15.75" customHeight="1" x14ac:dyDescent="0.2"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</row>
    <row r="143" spans="2:18" ht="15.75" customHeight="1" x14ac:dyDescent="0.2"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</row>
    <row r="144" spans="2:18" ht="15.75" customHeight="1" x14ac:dyDescent="0.2"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</row>
    <row r="145" spans="2:18" ht="15.75" customHeight="1" x14ac:dyDescent="0.2"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</row>
    <row r="146" spans="2:18" ht="15.75" customHeight="1" x14ac:dyDescent="0.2"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</row>
    <row r="147" spans="2:18" ht="15.75" customHeight="1" x14ac:dyDescent="0.2"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</row>
    <row r="148" spans="2:18" ht="15.75" customHeight="1" x14ac:dyDescent="0.2"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</row>
    <row r="149" spans="2:18" ht="15.75" customHeight="1" x14ac:dyDescent="0.2"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</row>
    <row r="150" spans="2:18" ht="15.75" customHeight="1" x14ac:dyDescent="0.2"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</row>
    <row r="151" spans="2:18" ht="15.75" customHeight="1" x14ac:dyDescent="0.2"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</row>
    <row r="152" spans="2:18" ht="15.75" customHeight="1" x14ac:dyDescent="0.2"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</row>
    <row r="153" spans="2:18" ht="15.75" customHeight="1" x14ac:dyDescent="0.2"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</row>
    <row r="154" spans="2:18" ht="15.75" customHeight="1" x14ac:dyDescent="0.2"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</row>
    <row r="155" spans="2:18" ht="15.75" customHeight="1" x14ac:dyDescent="0.2"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</row>
    <row r="156" spans="2:18" ht="15.75" customHeight="1" x14ac:dyDescent="0.2"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</row>
    <row r="157" spans="2:18" ht="15.75" customHeight="1" x14ac:dyDescent="0.2"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</row>
    <row r="158" spans="2:18" ht="15.75" customHeight="1" x14ac:dyDescent="0.2"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</row>
    <row r="159" spans="2:18" ht="15.75" customHeight="1" x14ac:dyDescent="0.2"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</row>
    <row r="160" spans="2:18" ht="15.75" customHeight="1" x14ac:dyDescent="0.2"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</row>
    <row r="161" spans="2:18" ht="15.75" customHeight="1" x14ac:dyDescent="0.2"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</row>
    <row r="162" spans="2:18" ht="15.75" customHeight="1" x14ac:dyDescent="0.2"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</row>
    <row r="163" spans="2:18" ht="15.75" customHeight="1" x14ac:dyDescent="0.2"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</row>
    <row r="164" spans="2:18" ht="15.75" customHeight="1" x14ac:dyDescent="0.2"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</row>
    <row r="165" spans="2:18" ht="15.75" customHeight="1" x14ac:dyDescent="0.2"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</row>
    <row r="166" spans="2:18" ht="15.75" customHeight="1" x14ac:dyDescent="0.2"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</row>
    <row r="167" spans="2:18" ht="15.75" customHeight="1" x14ac:dyDescent="0.2"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</row>
    <row r="168" spans="2:18" ht="15.75" customHeight="1" x14ac:dyDescent="0.2"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</row>
    <row r="169" spans="2:18" ht="15.75" customHeight="1" x14ac:dyDescent="0.2"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</row>
    <row r="170" spans="2:18" ht="15.75" customHeight="1" x14ac:dyDescent="0.2"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</row>
    <row r="171" spans="2:18" ht="15.75" customHeight="1" x14ac:dyDescent="0.2"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</row>
    <row r="172" spans="2:18" ht="15.75" customHeight="1" x14ac:dyDescent="0.2"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</row>
    <row r="173" spans="2:18" ht="15.75" customHeight="1" x14ac:dyDescent="0.2"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</row>
    <row r="174" spans="2:18" ht="15.75" customHeight="1" x14ac:dyDescent="0.2"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</row>
    <row r="175" spans="2:18" ht="15.75" customHeight="1" x14ac:dyDescent="0.2"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</row>
    <row r="176" spans="2:18" ht="15.75" customHeight="1" x14ac:dyDescent="0.2"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</row>
    <row r="177" spans="2:18" ht="15.75" customHeight="1" x14ac:dyDescent="0.2"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</row>
    <row r="178" spans="2:18" ht="15.75" customHeight="1" x14ac:dyDescent="0.2"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</row>
    <row r="179" spans="2:18" ht="15.75" customHeight="1" x14ac:dyDescent="0.2"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</row>
    <row r="180" spans="2:18" ht="15.75" customHeight="1" x14ac:dyDescent="0.2"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</row>
    <row r="181" spans="2:18" ht="15.75" customHeight="1" x14ac:dyDescent="0.2"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</row>
    <row r="182" spans="2:18" ht="15.75" customHeight="1" x14ac:dyDescent="0.2"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</row>
    <row r="183" spans="2:18" ht="15.75" customHeight="1" x14ac:dyDescent="0.2"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</row>
    <row r="184" spans="2:18" ht="15.75" customHeight="1" x14ac:dyDescent="0.2"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</row>
    <row r="185" spans="2:18" ht="15.75" customHeight="1" x14ac:dyDescent="0.2"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</row>
    <row r="186" spans="2:18" ht="15.75" customHeight="1" x14ac:dyDescent="0.2"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</row>
    <row r="187" spans="2:18" ht="15.75" customHeight="1" x14ac:dyDescent="0.2"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</row>
    <row r="188" spans="2:18" ht="15.75" customHeight="1" x14ac:dyDescent="0.2"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</row>
    <row r="189" spans="2:18" ht="15.75" customHeight="1" x14ac:dyDescent="0.2"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</row>
    <row r="190" spans="2:18" ht="15.75" customHeight="1" x14ac:dyDescent="0.2"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</row>
    <row r="191" spans="2:18" ht="15.75" customHeight="1" x14ac:dyDescent="0.2"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</row>
    <row r="192" spans="2:18" ht="15.75" customHeight="1" x14ac:dyDescent="0.2"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</row>
    <row r="193" spans="2:18" ht="15.75" customHeight="1" x14ac:dyDescent="0.2"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</row>
    <row r="194" spans="2:18" ht="15.75" customHeight="1" x14ac:dyDescent="0.2"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</row>
    <row r="195" spans="2:18" ht="15.75" customHeight="1" x14ac:dyDescent="0.2"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</row>
    <row r="196" spans="2:18" ht="15.75" customHeight="1" x14ac:dyDescent="0.2"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</row>
    <row r="197" spans="2:18" ht="15.75" customHeight="1" x14ac:dyDescent="0.2"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</row>
    <row r="198" spans="2:18" ht="15.75" customHeight="1" x14ac:dyDescent="0.2"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</row>
    <row r="199" spans="2:18" ht="15.75" customHeight="1" x14ac:dyDescent="0.2"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</row>
    <row r="200" spans="2:18" ht="15.75" customHeight="1" x14ac:dyDescent="0.2"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</row>
    <row r="201" spans="2:18" ht="15.75" customHeight="1" x14ac:dyDescent="0.2"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</row>
    <row r="202" spans="2:18" ht="15.75" customHeight="1" x14ac:dyDescent="0.2"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</row>
    <row r="203" spans="2:18" ht="15.75" customHeight="1" x14ac:dyDescent="0.2"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</row>
    <row r="204" spans="2:18" ht="15.75" customHeight="1" x14ac:dyDescent="0.2"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</row>
    <row r="205" spans="2:18" ht="15.75" customHeight="1" x14ac:dyDescent="0.2"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</row>
    <row r="206" spans="2:18" ht="15.75" customHeight="1" x14ac:dyDescent="0.2"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</row>
    <row r="207" spans="2:18" ht="15.75" customHeight="1" x14ac:dyDescent="0.2"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</row>
    <row r="208" spans="2:18" ht="15.75" customHeight="1" x14ac:dyDescent="0.2"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</row>
    <row r="209" spans="2:18" ht="15.75" customHeight="1" x14ac:dyDescent="0.2"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</row>
    <row r="210" spans="2:18" ht="15.75" customHeight="1" x14ac:dyDescent="0.2"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</row>
    <row r="211" spans="2:18" ht="15.75" customHeight="1" x14ac:dyDescent="0.2"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</row>
    <row r="212" spans="2:18" ht="15.75" customHeight="1" x14ac:dyDescent="0.2"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</row>
    <row r="213" spans="2:18" ht="15.75" customHeight="1" x14ac:dyDescent="0.2"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</row>
    <row r="214" spans="2:18" ht="15.75" customHeight="1" x14ac:dyDescent="0.2"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</row>
    <row r="215" spans="2:18" ht="15.75" customHeight="1" x14ac:dyDescent="0.2"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</row>
    <row r="216" spans="2:18" ht="15.75" customHeight="1" x14ac:dyDescent="0.2"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</row>
    <row r="217" spans="2:18" ht="15.75" customHeight="1" x14ac:dyDescent="0.2"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</row>
    <row r="218" spans="2:18" ht="15.75" customHeight="1" x14ac:dyDescent="0.2"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</row>
    <row r="219" spans="2:18" ht="15.75" customHeight="1" x14ac:dyDescent="0.2"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</row>
    <row r="220" spans="2:18" ht="15.75" customHeight="1" x14ac:dyDescent="0.2"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</row>
    <row r="221" spans="2:18" ht="15.75" customHeight="1" x14ac:dyDescent="0.2"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</row>
    <row r="222" spans="2:18" ht="15.75" customHeight="1" x14ac:dyDescent="0.2"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</row>
    <row r="223" spans="2:18" ht="15.75" customHeight="1" x14ac:dyDescent="0.2"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</row>
    <row r="224" spans="2:18" ht="15.75" customHeight="1" x14ac:dyDescent="0.2"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</row>
    <row r="225" spans="2:18" ht="15.75" customHeight="1" x14ac:dyDescent="0.2"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</row>
    <row r="226" spans="2:18" ht="15.75" customHeight="1" x14ac:dyDescent="0.2"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</row>
    <row r="227" spans="2:18" ht="15.75" customHeight="1" x14ac:dyDescent="0.2"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</row>
    <row r="228" spans="2:18" ht="15.75" customHeight="1" x14ac:dyDescent="0.2"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</row>
    <row r="229" spans="2:18" ht="15.75" customHeight="1" x14ac:dyDescent="0.2"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</row>
    <row r="230" spans="2:18" ht="15.75" customHeight="1" x14ac:dyDescent="0.2"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</row>
    <row r="231" spans="2:18" ht="15.75" customHeight="1" x14ac:dyDescent="0.2"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</row>
    <row r="232" spans="2:18" ht="15.75" customHeight="1" x14ac:dyDescent="0.2"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</row>
    <row r="233" spans="2:18" ht="15.75" customHeight="1" x14ac:dyDescent="0.2"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</row>
    <row r="234" spans="2:18" ht="15.75" customHeight="1" x14ac:dyDescent="0.2"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</row>
    <row r="235" spans="2:18" ht="15.75" customHeight="1" x14ac:dyDescent="0.2"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</row>
    <row r="236" spans="2:18" ht="15.75" customHeight="1" x14ac:dyDescent="0.2"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</row>
    <row r="237" spans="2:18" ht="15.75" customHeight="1" x14ac:dyDescent="0.2"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</row>
    <row r="238" spans="2:18" ht="15.75" customHeight="1" x14ac:dyDescent="0.2"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</row>
    <row r="239" spans="2:18" ht="15.75" customHeight="1" x14ac:dyDescent="0.2"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</row>
    <row r="240" spans="2:18" ht="15.75" customHeight="1" x14ac:dyDescent="0.2"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</row>
    <row r="241" spans="2:18" ht="15.75" customHeight="1" x14ac:dyDescent="0.2"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</row>
    <row r="242" spans="2:18" ht="15.75" customHeight="1" x14ac:dyDescent="0.2"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</row>
    <row r="243" spans="2:18" ht="15.75" customHeight="1" x14ac:dyDescent="0.2"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</row>
    <row r="244" spans="2:18" ht="15.75" customHeight="1" x14ac:dyDescent="0.2"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</row>
    <row r="245" spans="2:18" ht="15.75" customHeight="1" x14ac:dyDescent="0.2"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</row>
    <row r="246" spans="2:18" ht="15.75" customHeight="1" x14ac:dyDescent="0.2"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</row>
    <row r="247" spans="2:18" ht="15.75" customHeight="1" x14ac:dyDescent="0.2"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</row>
    <row r="248" spans="2:18" ht="15.75" customHeight="1" x14ac:dyDescent="0.2"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</row>
    <row r="249" spans="2:18" ht="15.75" customHeight="1" x14ac:dyDescent="0.2"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</row>
    <row r="250" spans="2:18" ht="15.75" customHeight="1" x14ac:dyDescent="0.2"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</row>
    <row r="251" spans="2:18" ht="15.75" customHeight="1" x14ac:dyDescent="0.2"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</row>
    <row r="252" spans="2:18" ht="15.75" customHeight="1" x14ac:dyDescent="0.2"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</row>
    <row r="253" spans="2:18" ht="15.75" customHeight="1" x14ac:dyDescent="0.2"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</row>
    <row r="254" spans="2:18" ht="15.75" customHeight="1" x14ac:dyDescent="0.2"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</row>
    <row r="255" spans="2:18" ht="15.75" customHeight="1" x14ac:dyDescent="0.2"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</row>
    <row r="256" spans="2:18" ht="15.75" customHeight="1" x14ac:dyDescent="0.2"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</row>
    <row r="257" spans="2:18" ht="15.75" customHeight="1" x14ac:dyDescent="0.2"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</row>
    <row r="258" spans="2:18" ht="15.75" customHeight="1" x14ac:dyDescent="0.2"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</row>
    <row r="259" spans="2:18" ht="15.75" customHeight="1" x14ac:dyDescent="0.2"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</row>
    <row r="260" spans="2:18" ht="15.75" customHeight="1" x14ac:dyDescent="0.2"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</row>
    <row r="261" spans="2:18" ht="15.75" customHeight="1" x14ac:dyDescent="0.2"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</row>
    <row r="262" spans="2:18" ht="15.75" customHeight="1" x14ac:dyDescent="0.2"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</row>
    <row r="263" spans="2:18" ht="15.75" customHeight="1" x14ac:dyDescent="0.2"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</row>
    <row r="264" spans="2:18" ht="15.75" customHeight="1" x14ac:dyDescent="0.2"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</row>
    <row r="265" spans="2:18" ht="15.75" customHeight="1" x14ac:dyDescent="0.2"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</row>
    <row r="266" spans="2:18" ht="15.75" customHeight="1" x14ac:dyDescent="0.2"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</row>
    <row r="267" spans="2:18" ht="15.75" customHeight="1" x14ac:dyDescent="0.2"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</row>
    <row r="268" spans="2:18" ht="15.75" customHeight="1" x14ac:dyDescent="0.2"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</row>
    <row r="269" spans="2:18" ht="15.75" customHeight="1" x14ac:dyDescent="0.2"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</row>
    <row r="270" spans="2:18" ht="15.75" customHeight="1" x14ac:dyDescent="0.2"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</row>
    <row r="271" spans="2:18" ht="15.75" customHeight="1" x14ac:dyDescent="0.2"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</row>
    <row r="272" spans="2:18" ht="15.75" customHeight="1" x14ac:dyDescent="0.2"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</row>
    <row r="273" spans="2:18" ht="15.75" customHeight="1" x14ac:dyDescent="0.2"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</row>
    <row r="274" spans="2:18" ht="15.75" customHeight="1" x14ac:dyDescent="0.2"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</row>
    <row r="275" spans="2:18" ht="15.75" customHeight="1" x14ac:dyDescent="0.2"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</row>
    <row r="276" spans="2:18" ht="15.75" customHeight="1" x14ac:dyDescent="0.2"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</row>
    <row r="277" spans="2:18" ht="15.75" customHeight="1" x14ac:dyDescent="0.2"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</row>
    <row r="278" spans="2:18" ht="15.75" customHeight="1" x14ac:dyDescent="0.2"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</row>
    <row r="279" spans="2:18" ht="15.75" customHeight="1" x14ac:dyDescent="0.2"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</row>
    <row r="280" spans="2:18" ht="15.75" customHeight="1" x14ac:dyDescent="0.2"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</row>
    <row r="281" spans="2:18" ht="15.75" customHeight="1" x14ac:dyDescent="0.2"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</row>
    <row r="282" spans="2:18" ht="15.75" customHeight="1" x14ac:dyDescent="0.2"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</row>
    <row r="283" spans="2:18" ht="15.75" customHeight="1" x14ac:dyDescent="0.2"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</row>
    <row r="284" spans="2:18" ht="15.75" customHeight="1" x14ac:dyDescent="0.2"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</row>
    <row r="285" spans="2:18" ht="15.75" customHeight="1" x14ac:dyDescent="0.2"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</row>
    <row r="286" spans="2:18" ht="15.75" customHeight="1" x14ac:dyDescent="0.2"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</row>
    <row r="287" spans="2:18" ht="15.75" customHeight="1" x14ac:dyDescent="0.2"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</row>
    <row r="288" spans="2:18" ht="15.75" customHeight="1" x14ac:dyDescent="0.2"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</row>
    <row r="289" spans="2:18" ht="15.75" customHeight="1" x14ac:dyDescent="0.2"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</row>
    <row r="290" spans="2:18" ht="15.75" customHeight="1" x14ac:dyDescent="0.2"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</row>
    <row r="291" spans="2:18" ht="15.75" customHeight="1" x14ac:dyDescent="0.2"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</row>
    <row r="292" spans="2:18" ht="15.75" customHeight="1" x14ac:dyDescent="0.2"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</row>
    <row r="293" spans="2:18" ht="15.75" customHeight="1" x14ac:dyDescent="0.2"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</row>
    <row r="294" spans="2:18" ht="15.75" customHeight="1" x14ac:dyDescent="0.2"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</row>
    <row r="295" spans="2:18" ht="15.75" customHeight="1" x14ac:dyDescent="0.2"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</row>
    <row r="296" spans="2:18" ht="15.75" customHeight="1" x14ac:dyDescent="0.2"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</row>
    <row r="297" spans="2:18" ht="15.75" customHeight="1" x14ac:dyDescent="0.2"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</row>
    <row r="298" spans="2:18" ht="15.75" customHeight="1" x14ac:dyDescent="0.2"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</row>
    <row r="299" spans="2:18" ht="15.75" customHeight="1" x14ac:dyDescent="0.2"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</row>
    <row r="300" spans="2:18" ht="15.75" customHeight="1" x14ac:dyDescent="0.2"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</row>
    <row r="301" spans="2:18" ht="15.75" customHeight="1" x14ac:dyDescent="0.2"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</row>
    <row r="302" spans="2:18" ht="15.75" customHeight="1" x14ac:dyDescent="0.2"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</row>
    <row r="303" spans="2:18" ht="15.75" customHeight="1" x14ac:dyDescent="0.2"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</row>
    <row r="304" spans="2:18" ht="15.75" customHeight="1" x14ac:dyDescent="0.2"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</row>
    <row r="305" spans="2:18" ht="15.75" customHeight="1" x14ac:dyDescent="0.2"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</row>
    <row r="306" spans="2:18" ht="15.75" customHeight="1" x14ac:dyDescent="0.2"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</row>
    <row r="307" spans="2:18" ht="15.75" customHeight="1" x14ac:dyDescent="0.2"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</row>
    <row r="308" spans="2:18" ht="15.75" customHeight="1" x14ac:dyDescent="0.2"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</row>
    <row r="309" spans="2:18" ht="15.75" customHeight="1" x14ac:dyDescent="0.2"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</row>
    <row r="310" spans="2:18" ht="15.75" customHeight="1" x14ac:dyDescent="0.2"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</row>
    <row r="311" spans="2:18" ht="15.75" customHeight="1" x14ac:dyDescent="0.2"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</row>
    <row r="312" spans="2:18" ht="15.75" customHeight="1" x14ac:dyDescent="0.2"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</row>
    <row r="313" spans="2:18" ht="15.75" customHeight="1" x14ac:dyDescent="0.2"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</row>
    <row r="314" spans="2:18" ht="15.75" customHeight="1" x14ac:dyDescent="0.2"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</row>
    <row r="315" spans="2:18" ht="15.75" customHeight="1" x14ac:dyDescent="0.2"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</row>
    <row r="316" spans="2:18" ht="15.75" customHeight="1" x14ac:dyDescent="0.2"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</row>
    <row r="317" spans="2:18" ht="15.75" customHeight="1" x14ac:dyDescent="0.2"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</row>
    <row r="318" spans="2:18" ht="15.75" customHeight="1" x14ac:dyDescent="0.2"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</row>
    <row r="319" spans="2:18" ht="15.75" customHeight="1" x14ac:dyDescent="0.2"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</row>
    <row r="320" spans="2:18" ht="15.75" customHeight="1" x14ac:dyDescent="0.2"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</row>
    <row r="321" spans="2:18" ht="15.75" customHeight="1" x14ac:dyDescent="0.2"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</row>
    <row r="322" spans="2:18" ht="15.75" customHeight="1" x14ac:dyDescent="0.2"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</row>
    <row r="323" spans="2:18" ht="15.75" customHeight="1" x14ac:dyDescent="0.2"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</row>
    <row r="324" spans="2:18" ht="15.75" customHeight="1" x14ac:dyDescent="0.2"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</row>
    <row r="325" spans="2:18" ht="15.75" customHeight="1" x14ac:dyDescent="0.2"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</row>
    <row r="326" spans="2:18" ht="15.75" customHeight="1" x14ac:dyDescent="0.2"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</row>
    <row r="327" spans="2:18" ht="15.75" customHeight="1" x14ac:dyDescent="0.2"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</row>
    <row r="328" spans="2:18" ht="15.75" customHeight="1" x14ac:dyDescent="0.2"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</row>
    <row r="329" spans="2:18" ht="15.75" customHeight="1" x14ac:dyDescent="0.2"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</row>
    <row r="330" spans="2:18" ht="15.75" customHeight="1" x14ac:dyDescent="0.2"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</row>
    <row r="331" spans="2:18" ht="15.75" customHeight="1" x14ac:dyDescent="0.2"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</row>
    <row r="332" spans="2:18" ht="15.75" customHeight="1" x14ac:dyDescent="0.2"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</row>
    <row r="333" spans="2:18" ht="15.75" customHeight="1" x14ac:dyDescent="0.2"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</row>
    <row r="334" spans="2:18" ht="15.75" customHeight="1" x14ac:dyDescent="0.2"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</row>
    <row r="335" spans="2:18" ht="15.75" customHeight="1" x14ac:dyDescent="0.2"/>
    <row r="336" spans="2:18" ht="15.75" customHeight="1" x14ac:dyDescent="0.2"/>
    <row r="337" spans="2:18" ht="15.75" customHeight="1" x14ac:dyDescent="0.2"/>
    <row r="338" spans="2:1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" customHeight="1" x14ac:dyDescent="0.2"/>
    <row r="793" ht="15" customHeight="1" x14ac:dyDescent="0.2"/>
    <row r="794" ht="15" customHeight="1" x14ac:dyDescent="0.2"/>
    <row r="795" ht="15" customHeight="1" x14ac:dyDescent="0.2"/>
    <row r="796" ht="15" customHeight="1" x14ac:dyDescent="0.2"/>
    <row r="797" ht="15" customHeight="1" x14ac:dyDescent="0.2"/>
    <row r="798" ht="15" customHeight="1" x14ac:dyDescent="0.2"/>
    <row r="799" ht="15" customHeight="1" x14ac:dyDescent="0.2"/>
    <row r="800" ht="15" customHeight="1" x14ac:dyDescent="0.2"/>
    <row r="801" ht="15" customHeight="1" x14ac:dyDescent="0.2"/>
    <row r="802" ht="15" customHeight="1" x14ac:dyDescent="0.2"/>
    <row r="803" ht="15" customHeight="1" x14ac:dyDescent="0.2"/>
    <row r="804" ht="15" customHeight="1" x14ac:dyDescent="0.2"/>
    <row r="805" ht="15" customHeight="1" x14ac:dyDescent="0.2"/>
    <row r="806" ht="15" customHeight="1" x14ac:dyDescent="0.2"/>
    <row r="807" ht="15" customHeight="1" x14ac:dyDescent="0.2"/>
    <row r="808" ht="15" customHeight="1" x14ac:dyDescent="0.2"/>
    <row r="809" ht="15" customHeight="1" x14ac:dyDescent="0.2"/>
    <row r="810" ht="15" customHeight="1" x14ac:dyDescent="0.2"/>
    <row r="811" ht="15" customHeight="1" x14ac:dyDescent="0.2"/>
    <row r="812" ht="15" customHeight="1" x14ac:dyDescent="0.2"/>
    <row r="813" ht="15" customHeight="1" x14ac:dyDescent="0.2"/>
    <row r="814" ht="15" customHeight="1" x14ac:dyDescent="0.2"/>
    <row r="815" ht="15" customHeight="1" x14ac:dyDescent="0.2"/>
    <row r="816" ht="15" customHeight="1" x14ac:dyDescent="0.2"/>
    <row r="817" ht="15" customHeight="1" x14ac:dyDescent="0.2"/>
    <row r="818" ht="15" customHeight="1" x14ac:dyDescent="0.2"/>
    <row r="819" ht="15" customHeight="1" x14ac:dyDescent="0.2"/>
    <row r="820" ht="15" customHeight="1" x14ac:dyDescent="0.2"/>
    <row r="821" ht="15" customHeight="1" x14ac:dyDescent="0.2"/>
    <row r="822" ht="15" customHeight="1" x14ac:dyDescent="0.2"/>
    <row r="823" ht="15" customHeight="1" x14ac:dyDescent="0.2"/>
    <row r="824" ht="15" customHeight="1" x14ac:dyDescent="0.2"/>
    <row r="825" ht="15" customHeight="1" x14ac:dyDescent="0.2"/>
    <row r="826" ht="15" customHeight="1" x14ac:dyDescent="0.2"/>
    <row r="827" ht="15" customHeight="1" x14ac:dyDescent="0.2"/>
    <row r="828" ht="15" customHeight="1" x14ac:dyDescent="0.2"/>
    <row r="829" ht="15" customHeight="1" x14ac:dyDescent="0.2"/>
    <row r="830" ht="15" customHeight="1" x14ac:dyDescent="0.2"/>
    <row r="831" ht="15" customHeight="1" x14ac:dyDescent="0.2"/>
    <row r="832" ht="15" customHeight="1" x14ac:dyDescent="0.2"/>
    <row r="833" ht="15" customHeight="1" x14ac:dyDescent="0.2"/>
    <row r="834" ht="15" customHeight="1" x14ac:dyDescent="0.2"/>
    <row r="835" ht="15" customHeight="1" x14ac:dyDescent="0.2"/>
    <row r="836" ht="15" customHeight="1" x14ac:dyDescent="0.2"/>
    <row r="837" ht="15" customHeight="1" x14ac:dyDescent="0.2"/>
    <row r="838" ht="15" customHeight="1" x14ac:dyDescent="0.2"/>
    <row r="839" ht="15" customHeight="1" x14ac:dyDescent="0.2"/>
    <row r="840" ht="15" customHeight="1" x14ac:dyDescent="0.2"/>
    <row r="841" ht="15" customHeight="1" x14ac:dyDescent="0.2"/>
    <row r="842" ht="15" customHeight="1" x14ac:dyDescent="0.2"/>
    <row r="843" ht="15" customHeight="1" x14ac:dyDescent="0.2"/>
    <row r="844" ht="15" customHeight="1" x14ac:dyDescent="0.2"/>
    <row r="845" ht="15" customHeight="1" x14ac:dyDescent="0.2"/>
    <row r="846" ht="15" customHeight="1" x14ac:dyDescent="0.2"/>
    <row r="847" ht="15" customHeight="1" x14ac:dyDescent="0.2"/>
    <row r="848" ht="15" customHeight="1" x14ac:dyDescent="0.2"/>
    <row r="849" ht="15" customHeight="1" x14ac:dyDescent="0.2"/>
    <row r="850" ht="15" customHeight="1" x14ac:dyDescent="0.2"/>
    <row r="851" ht="15" customHeight="1" x14ac:dyDescent="0.2"/>
    <row r="852" ht="15" customHeight="1" x14ac:dyDescent="0.2"/>
    <row r="853" ht="15" customHeight="1" x14ac:dyDescent="0.2"/>
    <row r="854" ht="15" customHeight="1" x14ac:dyDescent="0.2"/>
    <row r="855" ht="15" customHeight="1" x14ac:dyDescent="0.2"/>
    <row r="856" ht="15" customHeight="1" x14ac:dyDescent="0.2"/>
    <row r="857" ht="15" customHeight="1" x14ac:dyDescent="0.2"/>
    <row r="858" ht="15" customHeight="1" x14ac:dyDescent="0.2"/>
    <row r="859" ht="15" customHeight="1" x14ac:dyDescent="0.2"/>
    <row r="860" ht="15" customHeight="1" x14ac:dyDescent="0.2"/>
    <row r="861" ht="15" customHeight="1" x14ac:dyDescent="0.2"/>
    <row r="862" ht="15" customHeight="1" x14ac:dyDescent="0.2"/>
    <row r="863" ht="15" customHeight="1" x14ac:dyDescent="0.2"/>
    <row r="864" ht="15" customHeight="1" x14ac:dyDescent="0.2"/>
    <row r="865" ht="15" customHeight="1" x14ac:dyDescent="0.2"/>
    <row r="866" ht="15" customHeight="1" x14ac:dyDescent="0.2"/>
    <row r="867" ht="15" customHeight="1" x14ac:dyDescent="0.2"/>
    <row r="868" ht="15" customHeight="1" x14ac:dyDescent="0.2"/>
    <row r="869" ht="15" customHeight="1" x14ac:dyDescent="0.2"/>
    <row r="870" ht="15" customHeight="1" x14ac:dyDescent="0.2"/>
    <row r="871" ht="15" customHeight="1" x14ac:dyDescent="0.2"/>
    <row r="872" ht="15" customHeight="1" x14ac:dyDescent="0.2"/>
    <row r="873" ht="15" customHeight="1" x14ac:dyDescent="0.2"/>
    <row r="874" ht="15" customHeight="1" x14ac:dyDescent="0.2"/>
    <row r="875" ht="15" customHeight="1" x14ac:dyDescent="0.2"/>
    <row r="876" ht="15" customHeight="1" x14ac:dyDescent="0.2"/>
    <row r="877" ht="15" customHeight="1" x14ac:dyDescent="0.2"/>
    <row r="878" ht="15" customHeight="1" x14ac:dyDescent="0.2"/>
    <row r="879" ht="15" customHeight="1" x14ac:dyDescent="0.2"/>
    <row r="880" ht="15" customHeight="1" x14ac:dyDescent="0.2"/>
    <row r="881" ht="15" customHeight="1" x14ac:dyDescent="0.2"/>
    <row r="882" ht="15" customHeight="1" x14ac:dyDescent="0.2"/>
    <row r="883" ht="15" customHeight="1" x14ac:dyDescent="0.2"/>
    <row r="884" ht="15" customHeight="1" x14ac:dyDescent="0.2"/>
    <row r="885" ht="15" customHeight="1" x14ac:dyDescent="0.2"/>
    <row r="886" ht="15" customHeight="1" x14ac:dyDescent="0.2"/>
    <row r="887" ht="15" customHeight="1" x14ac:dyDescent="0.2"/>
    <row r="888" ht="15" customHeight="1" x14ac:dyDescent="0.2"/>
    <row r="889" ht="15" customHeight="1" x14ac:dyDescent="0.2"/>
    <row r="890" ht="15" customHeight="1" x14ac:dyDescent="0.2"/>
    <row r="891" ht="15" customHeight="1" x14ac:dyDescent="0.2"/>
    <row r="892" ht="15" customHeight="1" x14ac:dyDescent="0.2"/>
    <row r="893" ht="15" customHeight="1" x14ac:dyDescent="0.2"/>
    <row r="894" ht="15" customHeight="1" x14ac:dyDescent="0.2"/>
    <row r="895" ht="15" customHeight="1" x14ac:dyDescent="0.2"/>
    <row r="896" ht="15" customHeight="1" x14ac:dyDescent="0.2"/>
    <row r="897" ht="15" customHeight="1" x14ac:dyDescent="0.2"/>
    <row r="898" ht="15" customHeight="1" x14ac:dyDescent="0.2"/>
    <row r="899" ht="15" customHeight="1" x14ac:dyDescent="0.2"/>
    <row r="900" ht="15" customHeight="1" x14ac:dyDescent="0.2"/>
    <row r="901" ht="15" customHeight="1" x14ac:dyDescent="0.2"/>
    <row r="902" ht="15" customHeight="1" x14ac:dyDescent="0.2"/>
    <row r="903" ht="15" customHeight="1" x14ac:dyDescent="0.2"/>
    <row r="904" ht="15" customHeight="1" x14ac:dyDescent="0.2"/>
    <row r="905" ht="15" customHeight="1" x14ac:dyDescent="0.2"/>
    <row r="906" ht="15" customHeight="1" x14ac:dyDescent="0.2"/>
    <row r="907" ht="15" customHeight="1" x14ac:dyDescent="0.2"/>
    <row r="908" ht="15" customHeight="1" x14ac:dyDescent="0.2"/>
    <row r="909" ht="15" customHeight="1" x14ac:dyDescent="0.2"/>
    <row r="910" ht="15" customHeight="1" x14ac:dyDescent="0.2"/>
    <row r="911" ht="15" customHeight="1" x14ac:dyDescent="0.2"/>
    <row r="912" ht="15" customHeight="1" x14ac:dyDescent="0.2"/>
    <row r="913" ht="15" customHeight="1" x14ac:dyDescent="0.2"/>
    <row r="914" ht="15" customHeight="1" x14ac:dyDescent="0.2"/>
    <row r="915" ht="15" customHeight="1" x14ac:dyDescent="0.2"/>
    <row r="916" ht="15" customHeight="1" x14ac:dyDescent="0.2"/>
    <row r="917" ht="15" customHeight="1" x14ac:dyDescent="0.2"/>
    <row r="918" ht="15" customHeight="1" x14ac:dyDescent="0.2"/>
    <row r="919" ht="15" customHeight="1" x14ac:dyDescent="0.2"/>
    <row r="920" ht="15" customHeight="1" x14ac:dyDescent="0.2"/>
    <row r="921" ht="15" customHeight="1" x14ac:dyDescent="0.2"/>
    <row r="922" ht="15" customHeight="1" x14ac:dyDescent="0.2"/>
    <row r="923" ht="15" customHeight="1" x14ac:dyDescent="0.2"/>
    <row r="924" ht="15" customHeight="1" x14ac:dyDescent="0.2"/>
    <row r="925" ht="15" customHeight="1" x14ac:dyDescent="0.2"/>
    <row r="926" ht="15" customHeight="1" x14ac:dyDescent="0.2"/>
    <row r="927" ht="15" customHeight="1" x14ac:dyDescent="0.2"/>
    <row r="928" ht="15" customHeight="1" x14ac:dyDescent="0.2"/>
    <row r="929" ht="15" customHeight="1" x14ac:dyDescent="0.2"/>
    <row r="930" ht="15" customHeight="1" x14ac:dyDescent="0.2"/>
    <row r="931" ht="15" customHeight="1" x14ac:dyDescent="0.2"/>
    <row r="932" ht="15" customHeight="1" x14ac:dyDescent="0.2"/>
    <row r="933" ht="15" customHeight="1" x14ac:dyDescent="0.2"/>
    <row r="934" ht="15" customHeight="1" x14ac:dyDescent="0.2"/>
    <row r="935" ht="15" customHeight="1" x14ac:dyDescent="0.2"/>
    <row r="936" ht="15" customHeight="1" x14ac:dyDescent="0.2"/>
    <row r="937" ht="15" customHeight="1" x14ac:dyDescent="0.2"/>
    <row r="938" ht="15" customHeight="1" x14ac:dyDescent="0.2"/>
    <row r="939" ht="15" customHeight="1" x14ac:dyDescent="0.2"/>
    <row r="940" ht="15" customHeight="1" x14ac:dyDescent="0.2"/>
    <row r="941" ht="15" customHeight="1" x14ac:dyDescent="0.2"/>
    <row r="942" ht="15" customHeight="1" x14ac:dyDescent="0.2"/>
    <row r="943" ht="15" customHeight="1" x14ac:dyDescent="0.2"/>
    <row r="944" ht="15" customHeight="1" x14ac:dyDescent="0.2"/>
    <row r="945" ht="15" customHeight="1" x14ac:dyDescent="0.2"/>
    <row r="946" ht="15" customHeight="1" x14ac:dyDescent="0.2"/>
    <row r="947" ht="15" customHeight="1" x14ac:dyDescent="0.2"/>
    <row r="948" ht="15" customHeight="1" x14ac:dyDescent="0.2"/>
    <row r="949" ht="15" customHeight="1" x14ac:dyDescent="0.2"/>
    <row r="950" ht="15" customHeight="1" x14ac:dyDescent="0.2"/>
    <row r="951" ht="15" customHeight="1" x14ac:dyDescent="0.2"/>
    <row r="952" ht="15" customHeight="1" x14ac:dyDescent="0.2"/>
    <row r="953" ht="15" customHeight="1" x14ac:dyDescent="0.2"/>
    <row r="954" ht="15" customHeight="1" x14ac:dyDescent="0.2"/>
    <row r="955" ht="15" customHeight="1" x14ac:dyDescent="0.2"/>
    <row r="956" ht="15" customHeight="1" x14ac:dyDescent="0.2"/>
    <row r="957" ht="15" customHeight="1" x14ac:dyDescent="0.2"/>
    <row r="958" ht="15" customHeight="1" x14ac:dyDescent="0.2"/>
    <row r="959" ht="15" customHeight="1" x14ac:dyDescent="0.2"/>
    <row r="960" ht="15" customHeight="1" x14ac:dyDescent="0.2"/>
    <row r="961" ht="15" customHeight="1" x14ac:dyDescent="0.2"/>
    <row r="962" ht="15" customHeight="1" x14ac:dyDescent="0.2"/>
    <row r="963" ht="15" customHeight="1" x14ac:dyDescent="0.2"/>
    <row r="964" ht="15" customHeight="1" x14ac:dyDescent="0.2"/>
    <row r="965" ht="15" customHeight="1" x14ac:dyDescent="0.2"/>
    <row r="966" ht="15" customHeight="1" x14ac:dyDescent="0.2"/>
    <row r="967" ht="15" customHeight="1" x14ac:dyDescent="0.2"/>
    <row r="968" ht="15" customHeight="1" x14ac:dyDescent="0.2"/>
    <row r="969" ht="15" customHeight="1" x14ac:dyDescent="0.2"/>
    <row r="970" ht="15" customHeight="1" x14ac:dyDescent="0.2"/>
    <row r="971" ht="15" customHeight="1" x14ac:dyDescent="0.2"/>
    <row r="972" ht="15" customHeight="1" x14ac:dyDescent="0.2"/>
    <row r="973" ht="15" customHeight="1" x14ac:dyDescent="0.2"/>
    <row r="974" ht="15" customHeight="1" x14ac:dyDescent="0.2"/>
    <row r="975" ht="15" customHeight="1" x14ac:dyDescent="0.2"/>
    <row r="976" ht="15" customHeight="1" x14ac:dyDescent="0.2"/>
    <row r="977" ht="15" customHeight="1" x14ac:dyDescent="0.2"/>
    <row r="978" ht="15" customHeight="1" x14ac:dyDescent="0.2"/>
    <row r="979" ht="15" customHeight="1" x14ac:dyDescent="0.2"/>
    <row r="980" ht="15" customHeight="1" x14ac:dyDescent="0.2"/>
    <row r="981" ht="15" customHeight="1" x14ac:dyDescent="0.2"/>
    <row r="982" ht="15" customHeight="1" x14ac:dyDescent="0.2"/>
    <row r="983" ht="15" customHeight="1" x14ac:dyDescent="0.2"/>
    <row r="984" ht="15" customHeight="1" x14ac:dyDescent="0.2"/>
    <row r="985" ht="15" customHeight="1" x14ac:dyDescent="0.2"/>
    <row r="986" ht="15" customHeight="1" x14ac:dyDescent="0.2"/>
    <row r="987" ht="15" customHeight="1" x14ac:dyDescent="0.2"/>
    <row r="988" ht="15" customHeight="1" x14ac:dyDescent="0.2"/>
    <row r="989" ht="15" customHeight="1" x14ac:dyDescent="0.2"/>
    <row r="990" ht="15" customHeight="1" x14ac:dyDescent="0.2"/>
    <row r="991" ht="15" customHeight="1" x14ac:dyDescent="0.2"/>
    <row r="992" ht="15" customHeight="1" x14ac:dyDescent="0.2"/>
    <row r="993" ht="15" customHeight="1" x14ac:dyDescent="0.2"/>
    <row r="994" ht="15" customHeight="1" x14ac:dyDescent="0.2"/>
    <row r="995" ht="15" customHeight="1" x14ac:dyDescent="0.2"/>
    <row r="996" ht="15" customHeight="1" x14ac:dyDescent="0.2"/>
    <row r="997" ht="15" customHeight="1" x14ac:dyDescent="0.2"/>
    <row r="998" ht="15" customHeight="1" x14ac:dyDescent="0.2"/>
    <row r="999" ht="15" customHeight="1" x14ac:dyDescent="0.2"/>
    <row r="1000" ht="15" customHeight="1" x14ac:dyDescent="0.2"/>
    <row r="1001" ht="15" customHeight="1" x14ac:dyDescent="0.2"/>
    <row r="1002" ht="15" customHeight="1" x14ac:dyDescent="0.2"/>
    <row r="1003" ht="15" customHeight="1" x14ac:dyDescent="0.2"/>
    <row r="1004" ht="15" customHeight="1" x14ac:dyDescent="0.2"/>
    <row r="1005" ht="15" customHeight="1" x14ac:dyDescent="0.2"/>
    <row r="1006" ht="15" customHeight="1" x14ac:dyDescent="0.2"/>
    <row r="1007" ht="15" customHeight="1" x14ac:dyDescent="0.2"/>
    <row r="1008" ht="15" customHeight="1" x14ac:dyDescent="0.2"/>
    <row r="1009" ht="15" customHeight="1" x14ac:dyDescent="0.2"/>
    <row r="1010" ht="15" customHeight="1" x14ac:dyDescent="0.2"/>
    <row r="1011" ht="15" customHeight="1" x14ac:dyDescent="0.2"/>
    <row r="1012" ht="15" customHeight="1" x14ac:dyDescent="0.2"/>
    <row r="1013" ht="15" customHeight="1" x14ac:dyDescent="0.2"/>
    <row r="1014" ht="15" customHeight="1" x14ac:dyDescent="0.2"/>
  </sheetData>
  <mergeCells count="3">
    <mergeCell ref="I6:Q6"/>
    <mergeCell ref="B4:D4"/>
    <mergeCell ref="B5:D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Exercício 1 MC</vt:lpstr>
      <vt:lpstr>Exercício 1 Absorção</vt:lpstr>
      <vt:lpstr>Exercício 2 MC</vt:lpstr>
      <vt:lpstr>Exercício 2 Absorção</vt:lpstr>
      <vt:lpstr>Exercício 3 MC</vt:lpstr>
      <vt:lpstr>Exercício 3 Absorção</vt:lpstr>
      <vt:lpstr>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Microsoft Office</dc:creator>
  <cp:lastModifiedBy>Jose Angelo Ferreira</cp:lastModifiedBy>
  <dcterms:created xsi:type="dcterms:W3CDTF">2022-05-25T23:39:19Z</dcterms:created>
  <dcterms:modified xsi:type="dcterms:W3CDTF">2024-08-27T01:02:28Z</dcterms:modified>
</cp:coreProperties>
</file>