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1 Calçados" sheetId="1" state="visible" r:id="rId3"/>
    <sheet name="Ex2 Alimentos" sheetId="2" state="visible" r:id="rId4"/>
    <sheet name="Ex3 Autopeças" sheetId="3" state="visible" r:id="rId5"/>
    <sheet name="Ex4 Cosméticos" sheetId="4" state="visible" r:id="rId6"/>
    <sheet name="Ex5 Cerâmic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Matéria-prima: entra em R$ pela ficha técnica (coluna MP); por isso sai do CVP % da tabela.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Matéria-prima: entra em R$ pela ficha técnica (coluna MP); por isso sai do CVP % da tabela.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Matéria-prima: entra em R$ pela ficha técnica (coluna MP); por isso sai do CVP % da tabela.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Matéria-prima: entra em R$ pela ficha técnica (coluna MP); por isso sai do CVP % da tabela.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Matéria-prima: entra em R$ pela ficha técnica (coluna MP); por isso sai do CVP % da tabela.</t>
        </r>
      </text>
    </comment>
  </commentList>
</comments>
</file>

<file path=xl/sharedStrings.xml><?xml version="1.0" encoding="utf-8"?>
<sst xmlns="http://schemas.openxmlformats.org/spreadsheetml/2006/main" count="362" uniqueCount="124">
  <si>
    <t xml:space="preserve">DEMONSTRATIVO RESULTADOS DO EXERCICIO</t>
  </si>
  <si>
    <t xml:space="preserve">Exercício 1 · Calçados Passo Firme Ltda. · Franca (SP) · mês de agosto</t>
  </si>
  <si>
    <t xml:space="preserve">DISCRIMINAÇÃO</t>
  </si>
  <si>
    <t xml:space="preserve">VALOR R$</t>
  </si>
  <si>
    <t xml:space="preserve">%</t>
  </si>
  <si>
    <t xml:space="preserve">1. Receita Total</t>
  </si>
  <si>
    <t xml:space="preserve">CUSTO PELA MARGEM DE CONTRIBUIÇÃO · Calçados Passo Firme Ltda.</t>
  </si>
  <si>
    <t xml:space="preserve">2. Custos Variáveis de Produção</t>
  </si>
  <si>
    <t xml:space="preserve">Matéria-prima consumida (couro, solados, forros, cadarços)</t>
  </si>
  <si>
    <t xml:space="preserve">PROD.</t>
  </si>
  <si>
    <t xml:space="preserve">QUANT</t>
  </si>
  <si>
    <t xml:space="preserve">PREÇO</t>
  </si>
  <si>
    <t xml:space="preserve">CVP</t>
  </si>
  <si>
    <t xml:space="preserve">CVV</t>
  </si>
  <si>
    <t xml:space="preserve">CVT</t>
  </si>
  <si>
    <t xml:space="preserve">MC IND</t>
  </si>
  <si>
    <t xml:space="preserve">MC TOTAL</t>
  </si>
  <si>
    <t xml:space="preserve">CF UNIT</t>
  </si>
  <si>
    <t xml:space="preserve">CUSTO TOTAL</t>
  </si>
  <si>
    <t xml:space="preserve">LUCRO</t>
  </si>
  <si>
    <t xml:space="preserve">PV</t>
  </si>
  <si>
    <t xml:space="preserve">Gastos gerais de fabricação variáveis (cola, linha, tinta)</t>
  </si>
  <si>
    <t xml:space="preserve">MP</t>
  </si>
  <si>
    <t xml:space="preserve">  %</t>
  </si>
  <si>
    <t xml:space="preserve"> R$</t>
  </si>
  <si>
    <t xml:space="preserve">R$</t>
  </si>
  <si>
    <t xml:space="preserve">Prêmio de produtividade da produção</t>
  </si>
  <si>
    <t xml:space="preserve">A</t>
  </si>
  <si>
    <t xml:space="preserve">Fretes sobre compras de couro e solados</t>
  </si>
  <si>
    <t xml:space="preserve">B</t>
  </si>
  <si>
    <t xml:space="preserve">Energia elétrica das máquinas de costura e prensas</t>
  </si>
  <si>
    <t xml:space="preserve">C</t>
  </si>
  <si>
    <t xml:space="preserve">D</t>
  </si>
  <si>
    <t xml:space="preserve">2. Custos Variáveis de Vendas</t>
  </si>
  <si>
    <t xml:space="preserve"> </t>
  </si>
  <si>
    <t xml:space="preserve">ICMS sobre vendas</t>
  </si>
  <si>
    <t xml:space="preserve">PIS/COFINS sobre vendas</t>
  </si>
  <si>
    <t xml:space="preserve">TOTAL</t>
  </si>
  <si>
    <t xml:space="preserve">Frete sobre vendas</t>
  </si>
  <si>
    <t xml:space="preserve">Comissão sobre vendas</t>
  </si>
  <si>
    <t xml:space="preserve">Produtos:</t>
  </si>
  <si>
    <t xml:space="preserve">A = Tênis casual de couro (par)</t>
  </si>
  <si>
    <t xml:space="preserve">B = Bota de couro (par)</t>
  </si>
  <si>
    <t xml:space="preserve">C = Sapatênis (par)</t>
  </si>
  <si>
    <t xml:space="preserve">D = Sandália feminina (par)</t>
  </si>
  <si>
    <t xml:space="preserve">3. Custos Variáveis Totais</t>
  </si>
  <si>
    <t xml:space="preserve">Conferência: Σ MC total dos produtos − MC do DRE (deve ser 0)</t>
  </si>
  <si>
    <t xml:space="preserve">4. Margem de Contribuição</t>
  </si>
  <si>
    <t xml:space="preserve">Conferência: Σ quantidade × preço − receita (deve ser 0)</t>
  </si>
  <si>
    <t xml:space="preserve">5. Custos Fixos Totais</t>
  </si>
  <si>
    <t xml:space="preserve">Fórmulas: CVP% = (CVP total − MP) ÷ Receita · CF unit = CF total × MC total % ÷ quantidade · Custo = (MP + CF unit) ÷ [1 − (CVP% + CVV%)] · PV = (MP + CF unit) ÷ [1 − (CVP% + CVV% + Lucro%)]</t>
  </si>
  <si>
    <t xml:space="preserve">Mão de obra direta (mensalistas) + encargos</t>
  </si>
  <si>
    <t xml:space="preserve">Mão de obra indireta + encargos</t>
  </si>
  <si>
    <t xml:space="preserve">Depreciação</t>
  </si>
  <si>
    <t xml:space="preserve">Telefone e internet</t>
  </si>
  <si>
    <t xml:space="preserve">Honorários contábeis</t>
  </si>
  <si>
    <t xml:space="preserve">Água utilizada na administração</t>
  </si>
  <si>
    <t xml:space="preserve">Seguros</t>
  </si>
  <si>
    <t xml:space="preserve">Material de expediente</t>
  </si>
  <si>
    <t xml:space="preserve">Impostos e taxas municipais</t>
  </si>
  <si>
    <t xml:space="preserve">Aluguel do galpão</t>
  </si>
  <si>
    <t xml:space="preserve">Salários da administração + encargos</t>
  </si>
  <si>
    <t xml:space="preserve">Pró-labore dos sócios</t>
  </si>
  <si>
    <t xml:space="preserve">Manutenção predial (contrato mensal fixo)</t>
  </si>
  <si>
    <t xml:space="preserve">Vale-transporte</t>
  </si>
  <si>
    <t xml:space="preserve">6. Resultado Operacional</t>
  </si>
  <si>
    <t xml:space="preserve">Exercício 2 · Biscoitos Pé-Vermelho Ltda. · Londrina (PR) · mês de maio</t>
  </si>
  <si>
    <t xml:space="preserve">CUSTO PELA MARGEM DE CONTRIBUIÇÃO · Biscoitos Pé-Vermelho Ltda.</t>
  </si>
  <si>
    <t xml:space="preserve">Matéria-prima e embalagens (farinha, açúcar, gordura, filmes, caixas)</t>
  </si>
  <si>
    <t xml:space="preserve">Gás natural e energia dos fornos</t>
  </si>
  <si>
    <t xml:space="preserve">Fretes sobre compras de farinha e açúcar</t>
  </si>
  <si>
    <t xml:space="preserve">Gastos gerais de fabricação variáveis (aromas, fermentos químicos)</t>
  </si>
  <si>
    <t xml:space="preserve">Frete de entrega aos clientes</t>
  </si>
  <si>
    <t xml:space="preserve">A = Cream cracker (caixa com 20 pacotes)</t>
  </si>
  <si>
    <t xml:space="preserve">B = Biscoito recheado (caixa com 24 pacotes)</t>
  </si>
  <si>
    <t xml:space="preserve">C = Rosquinha de coco (caixa com 20 pacotes)</t>
  </si>
  <si>
    <t xml:space="preserve">D = Wafer (caixa com 30 pacotes)</t>
  </si>
  <si>
    <t xml:space="preserve">Depreciação dos fornos e linhas de produção</t>
  </si>
  <si>
    <t xml:space="preserve">Manutenção preventiva (contrato mensal fixo)</t>
  </si>
  <si>
    <t xml:space="preserve">IPTU e taxas municipais</t>
  </si>
  <si>
    <t xml:space="preserve">Aluguel do centro de distribuição</t>
  </si>
  <si>
    <t xml:space="preserve">Propaganda institucional (contrato anual, parcela mensal)</t>
  </si>
  <si>
    <t xml:space="preserve">Exercício 3 · Autopeças Rota Sul Ltda. · São José dos Pinhais (PR) · mês de julho</t>
  </si>
  <si>
    <t xml:space="preserve">CUSTO PELA MARGEM DE CONTRIBUIÇÃO · Autopeças Rota Sul Ltda.</t>
  </si>
  <si>
    <t xml:space="preserve">Matéria-prima consumida (aço, ferro fundido, compostos de atrito)</t>
  </si>
  <si>
    <t xml:space="preserve">Energia elétrica da usinagem</t>
  </si>
  <si>
    <t xml:space="preserve">Fretes sobre compras de aço</t>
  </si>
  <si>
    <t xml:space="preserve">Gastos gerais de fabricação variáveis (abrasivos, ferramentas de corte)</t>
  </si>
  <si>
    <t xml:space="preserve">Provisão para garantia (% sobre as vendas)</t>
  </si>
  <si>
    <t xml:space="preserve">A = Pastilha de freio (jogo)</t>
  </si>
  <si>
    <t xml:space="preserve">B = Disco de freio (unidade)</t>
  </si>
  <si>
    <t xml:space="preserve">C = Amortecedor (unidade)</t>
  </si>
  <si>
    <t xml:space="preserve">D = Bomba d'água (unidade)</t>
  </si>
  <si>
    <t xml:space="preserve">Leasing de centros de usinagem (parcela fixa)</t>
  </si>
  <si>
    <t xml:space="preserve">Exercício 4 · Bela Flora Cosméticos Ltda. · Diadema (SP) · mês de outubro</t>
  </si>
  <si>
    <t xml:space="preserve">CUSTO PELA MARGEM DE CONTRIBUIÇÃO · Bela Flora Cosméticos Ltda.</t>
  </si>
  <si>
    <t xml:space="preserve">Matéria-prima e embalagens (essências, bases, frascos, cartuchos)</t>
  </si>
  <si>
    <t xml:space="preserve">Insumos de envase e análises de lote</t>
  </si>
  <si>
    <t xml:space="preserve">Fretes sobre compras de essências e frascos</t>
  </si>
  <si>
    <t xml:space="preserve">Energia elétrica da fábrica</t>
  </si>
  <si>
    <t xml:space="preserve">Frete de entrega às revendedoras</t>
  </si>
  <si>
    <t xml:space="preserve">Taxas de cartão e da plataforma de vendas</t>
  </si>
  <si>
    <t xml:space="preserve">Comissão das revendedoras</t>
  </si>
  <si>
    <t xml:space="preserve">A = Shampoo 300 ml</t>
  </si>
  <si>
    <t xml:space="preserve">B = Hidratante corporal 400 ml</t>
  </si>
  <si>
    <t xml:space="preserve">C = Deo colônia 100 ml</t>
  </si>
  <si>
    <t xml:space="preserve">D = Batom</t>
  </si>
  <si>
    <t xml:space="preserve">Aluguel da fábrica</t>
  </si>
  <si>
    <t xml:space="preserve">Catálogos e campanhas (contrato mensal fixo)</t>
  </si>
  <si>
    <t xml:space="preserve">Assuntos regulatórios e P&amp;D (equipe fixa)</t>
  </si>
  <si>
    <t xml:space="preserve">Exercício 5 · Cerâmica Rio Maina Ltda. · Criciúma (SC) · mês de setembro</t>
  </si>
  <si>
    <t xml:space="preserve">CUSTO PELA MARGEM DE CONTRIBUIÇÃO · Cerâmica Rio Maina Ltda.</t>
  </si>
  <si>
    <t xml:space="preserve">Matéria-prima consumida (argilas, feldspato, esmaltes, caixas)</t>
  </si>
  <si>
    <t xml:space="preserve">Gás natural dos fornos</t>
  </si>
  <si>
    <t xml:space="preserve">Fretes sobre compras de argila</t>
  </si>
  <si>
    <t xml:space="preserve">Energia elétrica dos moinhos e prensas</t>
  </si>
  <si>
    <t xml:space="preserve">Comissão dos representantes</t>
  </si>
  <si>
    <t xml:space="preserve">A = Piso cerâmico 60×60 (m²)</t>
  </si>
  <si>
    <t xml:space="preserve">B = Porcelanato polido 80×80 (m²)</t>
  </si>
  <si>
    <t xml:space="preserve">C = Revestimento de parede 32×56 (m²)</t>
  </si>
  <si>
    <t xml:space="preserve">D = Porcelanato amadeirado 20×120 (m²)</t>
  </si>
  <si>
    <t xml:space="preserve">Depreciação dos fornos e prensas</t>
  </si>
  <si>
    <t xml:space="preserve">Manutenção industrial (contrato mensal fixo)</t>
  </si>
  <si>
    <t xml:space="preserve">Licenças e monitoramento ambiental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</si>
</sst>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;[RED]\-#,##0.00"/>
    <numFmt numFmtId="166" formatCode="0.00%"/>
    <numFmt numFmtId="167" formatCode="_-&quot;R$&quot;* #,##0.00_-;&quot;-R$&quot;* #,##0.00_-;_-&quot;R$&quot;* \-??_-;_-@"/>
    <numFmt numFmtId="168" formatCode="0%"/>
    <numFmt numFmtId="169" formatCode="General_)"/>
    <numFmt numFmtId="170" formatCode="#,##0"/>
    <numFmt numFmtId="171" formatCode="_(* #,##0.00_);_(* \(#,##0.00\);_(* \-??_);_(@_)"/>
    <numFmt numFmtId="172" formatCode="0.0%"/>
    <numFmt numFmtId="173" formatCode="0"/>
    <numFmt numFmtId="174" formatCode="_(&quot;R$ &quot;* #,##0.00_);_(&quot;R$&quot;* \(#,##0.00\);_(&quot;R$ &quot;* \-_);_(@_)"/>
    <numFmt numFmtId="175" formatCode="#,##0_);\(#,##0\)"/>
  </numFmts>
  <fonts count="23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2F2F2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1"/>
      <color rgb="FFF2F2F2"/>
      <name val="Arial"/>
      <family val="2"/>
      <charset val="1"/>
    </font>
    <font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8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color rgb="FF0000FF"/>
      <name val="Arial"/>
      <family val="2"/>
      <charset val="1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rgb="FF008000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C65911"/>
      <name val="Arial"/>
      <family val="2"/>
      <charset val="1"/>
    </font>
    <font>
      <b val="true"/>
      <i val="true"/>
      <sz val="12"/>
      <name val="Arial"/>
      <family val="2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-0.5"/>
        <bgColor rgb="FF333300"/>
      </patternFill>
    </fill>
    <fill>
      <patternFill patternType="solid">
        <fgColor theme="4"/>
        <bgColor rgb="FF666699"/>
      </patternFill>
    </fill>
    <fill>
      <patternFill patternType="solid">
        <fgColor theme="8" tint="0.7999"/>
        <bgColor rgb="FFE2F0D9"/>
      </patternFill>
    </fill>
    <fill>
      <patternFill patternType="solid">
        <fgColor theme="9" tint="0.7999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double">
        <color theme="1"/>
      </left>
      <right/>
      <top style="double">
        <color theme="1"/>
      </top>
      <bottom/>
      <diagonal/>
    </border>
    <border diagonalUp="false" diagonalDown="false">
      <left/>
      <right/>
      <top style="double">
        <color theme="1"/>
      </top>
      <bottom/>
      <diagonal/>
    </border>
    <border diagonalUp="false" diagonalDown="false">
      <left/>
      <right style="double">
        <color theme="1"/>
      </right>
      <top style="double">
        <color theme="1"/>
      </top>
      <bottom/>
      <diagonal/>
    </border>
    <border diagonalUp="false" diagonalDown="false">
      <left style="double">
        <color theme="1"/>
      </left>
      <right style="double">
        <color theme="1"/>
      </right>
      <top/>
      <bottom/>
      <diagonal/>
    </border>
    <border diagonalUp="false" diagonalDown="false">
      <left style="double">
        <color theme="1"/>
      </left>
      <right/>
      <top/>
      <bottom style="double">
        <color theme="1"/>
      </bottom>
      <diagonal/>
    </border>
    <border diagonalUp="false" diagonalDown="false">
      <left/>
      <right/>
      <top/>
      <bottom style="double">
        <color theme="1"/>
      </bottom>
      <diagonal/>
    </border>
    <border diagonalUp="false" diagonalDown="false">
      <left/>
      <right style="double">
        <color theme="1"/>
      </right>
      <top/>
      <bottom style="double">
        <color theme="1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>
        <color theme="1"/>
      </left>
      <right style="medium"/>
      <top/>
      <bottom style="double">
        <color rgb="FF0000FF"/>
      </bottom>
      <diagonal/>
    </border>
    <border diagonalUp="false" diagonalDown="false">
      <left style="medium"/>
      <right style="medium"/>
      <top/>
      <bottom style="double">
        <color rgb="FF0000FF"/>
      </bottom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double">
        <color rgb="FF0000FF"/>
      </bottom>
      <diagonal/>
    </border>
    <border diagonalUp="false" diagonalDown="false">
      <left style="medium"/>
      <right style="double">
        <color theme="1"/>
      </right>
      <top/>
      <bottom style="double">
        <color rgb="FF0000FF"/>
      </bottom>
      <diagonal/>
    </border>
    <border diagonalUp="false" diagonalDown="false">
      <left style="medium"/>
      <right/>
      <top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/>
      <right style="medium"/>
      <top/>
      <bottom style="double"/>
      <diagonal/>
    </border>
    <border diagonalUp="false" diagonalDown="false">
      <left style="thin"/>
      <right style="medium"/>
      <top/>
      <bottom style="double">
        <color rgb="FF0000FF"/>
      </bottom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double">
        <color theme="1"/>
      </left>
      <right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double">
        <color rgb="FF0000FF"/>
      </top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double">
        <color rgb="FF0000FF"/>
      </top>
      <bottom/>
      <diagonal/>
    </border>
    <border diagonalUp="false" diagonalDown="false">
      <left/>
      <right style="medium"/>
      <top style="double">
        <color rgb="FF0000FF"/>
      </top>
      <bottom style="thin"/>
      <diagonal/>
    </border>
    <border diagonalUp="false" diagonalDown="false">
      <left/>
      <right style="thin"/>
      <top style="double">
        <color rgb="FF0000FF"/>
      </top>
      <bottom style="thin"/>
      <diagonal/>
    </border>
    <border diagonalUp="false" diagonalDown="false">
      <left/>
      <right style="double">
        <color theme="1"/>
      </right>
      <top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double">
        <color theme="1"/>
      </right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double">
        <color theme="1"/>
      </right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double">
        <color theme="1"/>
      </left>
      <right style="medium"/>
      <top/>
      <bottom style="double">
        <color theme="1"/>
      </bottom>
      <diagonal/>
    </border>
    <border diagonalUp="false" diagonalDown="false">
      <left style="thin"/>
      <right style="medium"/>
      <top/>
      <bottom style="double">
        <color theme="1"/>
      </bottom>
      <diagonal/>
    </border>
    <border diagonalUp="false" diagonalDown="false">
      <left style="medium"/>
      <right style="thin"/>
      <top/>
      <bottom style="double">
        <color theme="1"/>
      </bottom>
      <diagonal/>
    </border>
    <border diagonalUp="false" diagonalDown="false">
      <left/>
      <right style="thin"/>
      <top/>
      <bottom style="double">
        <color theme="1"/>
      </bottom>
      <diagonal/>
    </border>
    <border diagonalUp="false" diagonalDown="false">
      <left style="double">
        <color rgb="FF0000FF"/>
      </left>
      <right style="double">
        <color rgb="FF0000FF"/>
      </right>
      <top/>
      <bottom style="double">
        <color rgb="FF0000FF"/>
      </bottom>
      <diagonal/>
    </border>
    <border diagonalUp="false" diagonalDown="false">
      <left/>
      <right style="double">
        <color rgb="FF0000FF"/>
      </right>
      <top/>
      <bottom style="double">
        <color rgb="FF0000FF"/>
      </bottom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4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4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4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4" borderId="1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4" borderId="1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5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5" borderId="1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5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5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5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6" borderId="2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6" borderId="2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6" borderId="2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6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0" fillId="6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6" borderId="2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6" borderId="2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6" borderId="2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2" fillId="0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3" fillId="7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4" fillId="0" borderId="2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3" fillId="0" borderId="3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2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2" fillId="0" borderId="2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2" fillId="0" borderId="3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2" fillId="0" borderId="3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2" fillId="0" borderId="3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5" fillId="0" borderId="3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5" fillId="0" borderId="3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5" fillId="0" borderId="3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2" fillId="0" borderId="2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2" fillId="0" borderId="29" xfId="19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6" fillId="0" borderId="3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2" fillId="0" borderId="14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2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2" fillId="0" borderId="3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15" fillId="0" borderId="3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5" fillId="0" borderId="2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5" fillId="0" borderId="2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5" fillId="0" borderId="3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2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6" fillId="0" borderId="39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2" fillId="0" borderId="3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2" fillId="0" borderId="4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2" fillId="0" borderId="4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5" fillId="0" borderId="4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5" fillId="0" borderId="4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5" fillId="0" borderId="2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2" fillId="0" borderId="4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6" fillId="0" borderId="44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4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6" fillId="0" borderId="36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7" fillId="7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0" fillId="0" borderId="2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12" fillId="0" borderId="3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12" fillId="0" borderId="1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12" fillId="0" borderId="2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2" fillId="0" borderId="3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12" fillId="0" borderId="3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5" fillId="0" borderId="4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5" fillId="0" borderId="4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6" fillId="0" borderId="3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2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5" fontId="10" fillId="0" borderId="2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2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3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10" fillId="0" borderId="1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3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4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4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0" fillId="0" borderId="3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4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2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1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2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9" fillId="0" borderId="1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4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4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5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1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10" fillId="0" borderId="5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0" fillId="0" borderId="5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5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.5"/>
    <col collapsed="false" customWidth="true" hidden="false" outlineLevel="0" max="3" min="3" style="1" width="25.5"/>
    <col collapsed="false" customWidth="true" hidden="false" outlineLevel="0" max="4" min="4" style="2" width="12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16" min="9" style="1" width="13"/>
    <col collapsed="false" customWidth="true" hidden="false" outlineLevel="0" max="17" min="17" style="1" width="16"/>
    <col collapsed="false" customWidth="true" hidden="false" outlineLevel="0" max="19" min="18" style="1" width="13"/>
    <col collapsed="false" customWidth="true" hidden="false" outlineLevel="0" max="20" min="20" style="1" width="15"/>
    <col collapsed="false" customWidth="true" hidden="false" outlineLevel="0" max="21" min="21" style="1" width="13"/>
    <col collapsed="false" customWidth="true" hidden="false" outlineLevel="0" max="22" min="22" style="1" width="14"/>
  </cols>
  <sheetData>
    <row r="1" customFormat="false" ht="18" hidden="false" customHeight="true" outlineLevel="0" collapsed="false">
      <c r="B1" s="3" t="s">
        <v>0</v>
      </c>
      <c r="C1" s="3"/>
      <c r="D1" s="3"/>
    </row>
    <row r="2" customFormat="false" ht="15.75" hidden="false" customHeight="false" outlineLevel="0" collapsed="false">
      <c r="B2" s="4" t="s">
        <v>1</v>
      </c>
      <c r="C2" s="4"/>
      <c r="D2" s="4"/>
    </row>
    <row r="3" customFormat="false" ht="15.75" hidden="false" customHeight="false" outlineLevel="0" collapsed="false">
      <c r="B3" s="5" t="s">
        <v>2</v>
      </c>
      <c r="C3" s="6" t="s">
        <v>3</v>
      </c>
      <c r="D3" s="6" t="s">
        <v>4</v>
      </c>
    </row>
    <row r="4" customFormat="false" ht="16.5" hidden="false" customHeight="true" outlineLevel="0" collapsed="false">
      <c r="B4" s="7"/>
    </row>
    <row r="5" customFormat="false" ht="18" hidden="false" customHeight="true" outlineLevel="0" collapsed="false">
      <c r="B5" s="8" t="s">
        <v>5</v>
      </c>
      <c r="C5" s="9" t="n">
        <v>846000</v>
      </c>
      <c r="D5" s="10" t="n">
        <f aca="false">C5/$C$5</f>
        <v>1</v>
      </c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3"/>
    </row>
    <row r="6" customFormat="false" ht="16.5" hidden="false" customHeight="true" outlineLevel="0" collapsed="false">
      <c r="B6" s="14"/>
      <c r="C6" s="15"/>
      <c r="D6" s="16"/>
      <c r="F6" s="17" t="s">
        <v>6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customFormat="false" ht="16.5" hidden="false" customHeight="true" outlineLevel="0" collapsed="false">
      <c r="B7" s="8" t="s">
        <v>7</v>
      </c>
      <c r="C7" s="9" t="n">
        <f aca="false">SUM(C8:C14)</f>
        <v>346720</v>
      </c>
      <c r="D7" s="10" t="n">
        <f aca="false">C7/$C$5</f>
        <v>0.40983451536643</v>
      </c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20"/>
    </row>
    <row r="8" customFormat="false" ht="16.5" hidden="false" customHeight="true" outlineLevel="0" collapsed="false">
      <c r="B8" s="21" t="s">
        <v>8</v>
      </c>
      <c r="C8" s="22" t="n">
        <v>287500</v>
      </c>
      <c r="D8" s="23" t="n">
        <f aca="false">C8/$C$5</f>
        <v>0.33983451536643</v>
      </c>
      <c r="F8" s="24" t="s">
        <v>9</v>
      </c>
      <c r="G8" s="25" t="s">
        <v>10</v>
      </c>
      <c r="H8" s="25" t="s">
        <v>11</v>
      </c>
      <c r="I8" s="26" t="s">
        <v>12</v>
      </c>
      <c r="J8" s="26"/>
      <c r="K8" s="26"/>
      <c r="L8" s="26" t="s">
        <v>13</v>
      </c>
      <c r="M8" s="26"/>
      <c r="N8" s="27" t="s">
        <v>14</v>
      </c>
      <c r="O8" s="26" t="s">
        <v>15</v>
      </c>
      <c r="P8" s="26"/>
      <c r="Q8" s="26" t="s">
        <v>16</v>
      </c>
      <c r="R8" s="26"/>
      <c r="S8" s="25" t="s">
        <v>17</v>
      </c>
      <c r="T8" s="28" t="s">
        <v>18</v>
      </c>
      <c r="U8" s="25" t="s">
        <v>19</v>
      </c>
      <c r="V8" s="29" t="s">
        <v>20</v>
      </c>
    </row>
    <row r="9" customFormat="false" ht="16.5" hidden="false" customHeight="true" outlineLevel="0" collapsed="false">
      <c r="B9" s="21" t="s">
        <v>21</v>
      </c>
      <c r="C9" s="22" t="n">
        <v>21150</v>
      </c>
      <c r="D9" s="23" t="n">
        <f aca="false">C9/$C$5</f>
        <v>0.025</v>
      </c>
      <c r="F9" s="24"/>
      <c r="G9" s="25"/>
      <c r="H9" s="25"/>
      <c r="I9" s="30" t="s">
        <v>22</v>
      </c>
      <c r="J9" s="31" t="s">
        <v>23</v>
      </c>
      <c r="K9" s="32" t="s">
        <v>24</v>
      </c>
      <c r="L9" s="33" t="s">
        <v>4</v>
      </c>
      <c r="M9" s="34" t="s">
        <v>25</v>
      </c>
      <c r="N9" s="27"/>
      <c r="O9" s="35" t="s">
        <v>25</v>
      </c>
      <c r="P9" s="36" t="s">
        <v>4</v>
      </c>
      <c r="Q9" s="37" t="s">
        <v>25</v>
      </c>
      <c r="R9" s="33" t="s">
        <v>4</v>
      </c>
      <c r="S9" s="25"/>
      <c r="T9" s="25"/>
      <c r="U9" s="25"/>
      <c r="V9" s="29"/>
    </row>
    <row r="10" customFormat="false" ht="16.5" hidden="false" customHeight="true" outlineLevel="0" collapsed="false">
      <c r="B10" s="21" t="s">
        <v>26</v>
      </c>
      <c r="C10" s="22" t="n">
        <v>12690</v>
      </c>
      <c r="D10" s="23" t="n">
        <f aca="false">C10/$C$5</f>
        <v>0.015</v>
      </c>
      <c r="F10" s="38" t="s">
        <v>27</v>
      </c>
      <c r="G10" s="39" t="n">
        <v>1800</v>
      </c>
      <c r="H10" s="40" t="n">
        <v>180</v>
      </c>
      <c r="I10" s="41" t="n">
        <v>62</v>
      </c>
      <c r="J10" s="42" t="n">
        <f aca="false">($C$7-$C$8)/$C$5</f>
        <v>0.07</v>
      </c>
      <c r="K10" s="43" t="n">
        <f aca="false">H10*J10</f>
        <v>12.6</v>
      </c>
      <c r="L10" s="44" t="n">
        <f aca="false">$C$15/$C$5</f>
        <v>0.24</v>
      </c>
      <c r="M10" s="45" t="n">
        <f aca="false">H10*L10</f>
        <v>43.2</v>
      </c>
      <c r="N10" s="46" t="n">
        <f aca="false">I10+K10+M10</f>
        <v>117.8</v>
      </c>
      <c r="O10" s="47" t="n">
        <f aca="false">H10-N10</f>
        <v>62.2</v>
      </c>
      <c r="P10" s="48" t="n">
        <f aca="false">O10/H10</f>
        <v>0.345555555555556</v>
      </c>
      <c r="Q10" s="49" t="n">
        <f aca="false">O10*G10</f>
        <v>111960</v>
      </c>
      <c r="R10" s="48" t="n">
        <f aca="false">Q10/$Q$17</f>
        <v>0.377936807993519</v>
      </c>
      <c r="S10" s="50" t="n">
        <f aca="false">$C$28*R10/G10</f>
        <v>47.3470834458547</v>
      </c>
      <c r="T10" s="43" t="n">
        <f aca="false">(I10+S10)/(1-(J10+L10))</f>
        <v>158.4740339795</v>
      </c>
      <c r="U10" s="51" t="n">
        <v>0.15</v>
      </c>
      <c r="V10" s="52" t="n">
        <f aca="false">(I10+S10)/(1-(J10+L10+U10))</f>
        <v>202.494598973805</v>
      </c>
    </row>
    <row r="11" customFormat="false" ht="15.75" hidden="false" customHeight="false" outlineLevel="0" collapsed="false">
      <c r="B11" s="21" t="s">
        <v>28</v>
      </c>
      <c r="C11" s="22" t="n">
        <v>8460</v>
      </c>
      <c r="D11" s="23" t="n">
        <f aca="false">C11/$C$5</f>
        <v>0.01</v>
      </c>
      <c r="F11" s="38" t="s">
        <v>29</v>
      </c>
      <c r="G11" s="39" t="n">
        <v>600</v>
      </c>
      <c r="H11" s="40" t="n">
        <v>320</v>
      </c>
      <c r="I11" s="41" t="n">
        <v>118</v>
      </c>
      <c r="J11" s="53" t="n">
        <f aca="false">($C$7-$C$8)/$C$5</f>
        <v>0.07</v>
      </c>
      <c r="K11" s="46" t="n">
        <f aca="false">H11*J11</f>
        <v>22.4</v>
      </c>
      <c r="L11" s="54" t="n">
        <f aca="false">$C$15/$C$5</f>
        <v>0.24</v>
      </c>
      <c r="M11" s="55" t="n">
        <f aca="false">H11*L11</f>
        <v>76.8</v>
      </c>
      <c r="N11" s="56" t="n">
        <f aca="false">I11+K11+M11</f>
        <v>217.2</v>
      </c>
      <c r="O11" s="57" t="n">
        <f aca="false">H11-N11</f>
        <v>102.8</v>
      </c>
      <c r="P11" s="58" t="n">
        <f aca="false">O11/H11</f>
        <v>0.32125</v>
      </c>
      <c r="Q11" s="59" t="n">
        <f aca="false">O11*G11</f>
        <v>61680</v>
      </c>
      <c r="R11" s="60" t="n">
        <f aca="false">Q11/$Q$17</f>
        <v>0.208209559816365</v>
      </c>
      <c r="S11" s="61" t="n">
        <f aca="false">$C$28*R11/G11</f>
        <v>78.2520928976505</v>
      </c>
      <c r="T11" s="50" t="n">
        <f aca="false">(I11+S11)/(1-(J11+L11))</f>
        <v>284.423323040073</v>
      </c>
      <c r="U11" s="51" t="n">
        <v>0.2</v>
      </c>
      <c r="V11" s="62" t="n">
        <f aca="false">(I11+S11)/(1-(J11+L11+U11))</f>
        <v>400.514475301328</v>
      </c>
    </row>
    <row r="12" customFormat="false" ht="15.75" hidden="false" customHeight="false" outlineLevel="0" collapsed="false">
      <c r="B12" s="21" t="s">
        <v>30</v>
      </c>
      <c r="C12" s="22" t="n">
        <v>16920</v>
      </c>
      <c r="D12" s="23" t="n">
        <f aca="false">C12/$C$5</f>
        <v>0.02</v>
      </c>
      <c r="F12" s="38" t="s">
        <v>31</v>
      </c>
      <c r="G12" s="39" t="n">
        <v>1200</v>
      </c>
      <c r="H12" s="40" t="n">
        <v>150</v>
      </c>
      <c r="I12" s="41" t="n">
        <v>48</v>
      </c>
      <c r="J12" s="53" t="n">
        <f aca="false">($C$7-$C$8)/$C$5</f>
        <v>0.07</v>
      </c>
      <c r="K12" s="43" t="n">
        <f aca="false">H12*J12</f>
        <v>10.5</v>
      </c>
      <c r="L12" s="63" t="n">
        <f aca="false">$C$15/$C$5</f>
        <v>0.24</v>
      </c>
      <c r="M12" s="64" t="n">
        <f aca="false">H12*L12</f>
        <v>36</v>
      </c>
      <c r="N12" s="65" t="n">
        <f aca="false">I12+K12+M12</f>
        <v>94.5</v>
      </c>
      <c r="O12" s="57" t="n">
        <f aca="false">H12-N12</f>
        <v>55.5</v>
      </c>
      <c r="P12" s="66" t="n">
        <f aca="false">O12/H12</f>
        <v>0.37</v>
      </c>
      <c r="Q12" s="67" t="n">
        <f aca="false">O12*G12</f>
        <v>66600</v>
      </c>
      <c r="R12" s="68" t="n">
        <f aca="false">Q12/$Q$17</f>
        <v>0.22481771536592</v>
      </c>
      <c r="S12" s="43" t="n">
        <f aca="false">$C$28*R12/G12</f>
        <v>42.246995679179</v>
      </c>
      <c r="T12" s="69" t="n">
        <f aca="false">(I12+S12)/(1-(J12+L12))</f>
        <v>130.792747361129</v>
      </c>
      <c r="U12" s="51" t="n">
        <v>0.12</v>
      </c>
      <c r="V12" s="70" t="n">
        <f aca="false">(I12+S12)/(1-(J12+L12+U12))</f>
        <v>158.328062595051</v>
      </c>
    </row>
    <row r="13" customFormat="false" ht="15.75" hidden="false" customHeight="false" outlineLevel="0" collapsed="false">
      <c r="B13" s="71"/>
      <c r="C13" s="72"/>
      <c r="D13" s="73"/>
      <c r="F13" s="38" t="s">
        <v>32</v>
      </c>
      <c r="G13" s="39" t="n">
        <v>2500</v>
      </c>
      <c r="H13" s="40" t="n">
        <v>60</v>
      </c>
      <c r="I13" s="41" t="n">
        <v>19</v>
      </c>
      <c r="J13" s="53" t="n">
        <f aca="false">($C$7-$C$8)/$C$5</f>
        <v>0.07</v>
      </c>
      <c r="K13" s="43" t="n">
        <f aca="false">H13*J13</f>
        <v>4.2</v>
      </c>
      <c r="L13" s="63" t="n">
        <f aca="false">$C$15/$C$5</f>
        <v>0.24</v>
      </c>
      <c r="M13" s="45" t="n">
        <f aca="false">H13*L13</f>
        <v>14.4</v>
      </c>
      <c r="N13" s="46" t="n">
        <f aca="false">I13+K13+M13</f>
        <v>37.6</v>
      </c>
      <c r="O13" s="57" t="n">
        <f aca="false">H13-N13</f>
        <v>22.4</v>
      </c>
      <c r="P13" s="68" t="n">
        <f aca="false">O13/H13</f>
        <v>0.373333333333333</v>
      </c>
      <c r="Q13" s="74" t="n">
        <f aca="false">O13*G13</f>
        <v>56000</v>
      </c>
      <c r="R13" s="68" t="n">
        <f aca="false">Q13/$Q$17</f>
        <v>0.189035916824197</v>
      </c>
      <c r="S13" s="43" t="n">
        <f aca="false">$C$28*R13/G13</f>
        <v>17.0510396975425</v>
      </c>
      <c r="T13" s="43" t="n">
        <f aca="false">(I13+S13)/(1-(J13+L13))</f>
        <v>52.2478836196269</v>
      </c>
      <c r="U13" s="51" t="n">
        <v>0.1</v>
      </c>
      <c r="V13" s="75" t="n">
        <f aca="false">(I13+S13)/(1-(J13+L13+U13))</f>
        <v>61.1034571144789</v>
      </c>
    </row>
    <row r="14" customFormat="false" ht="16.5" hidden="false" customHeight="true" outlineLevel="0" collapsed="false">
      <c r="B14" s="71"/>
      <c r="C14" s="72"/>
      <c r="D14" s="73"/>
      <c r="F14" s="38"/>
      <c r="G14" s="76"/>
      <c r="H14" s="77"/>
      <c r="I14" s="78"/>
      <c r="J14" s="79"/>
      <c r="K14" s="80"/>
      <c r="L14" s="81"/>
      <c r="M14" s="82"/>
      <c r="N14" s="78"/>
      <c r="O14" s="83"/>
      <c r="P14" s="68"/>
      <c r="Q14" s="84"/>
      <c r="R14" s="68"/>
      <c r="S14" s="80"/>
      <c r="T14" s="80"/>
      <c r="U14" s="80"/>
      <c r="V14" s="85"/>
    </row>
    <row r="15" customFormat="false" ht="16.5" hidden="false" customHeight="true" outlineLevel="0" collapsed="false">
      <c r="B15" s="8" t="s">
        <v>33</v>
      </c>
      <c r="C15" s="9" t="n">
        <f aca="false">SUM(C16:C22)</f>
        <v>203040</v>
      </c>
      <c r="D15" s="10" t="n">
        <f aca="false">C15/$C$5</f>
        <v>0.24</v>
      </c>
      <c r="F15" s="86"/>
      <c r="G15" s="87"/>
      <c r="H15" s="88"/>
      <c r="I15" s="89"/>
      <c r="J15" s="90"/>
      <c r="K15" s="88" t="s">
        <v>34</v>
      </c>
      <c r="L15" s="81"/>
      <c r="M15" s="91"/>
      <c r="N15" s="89"/>
      <c r="O15" s="92"/>
      <c r="P15" s="88"/>
      <c r="Q15" s="93"/>
      <c r="R15" s="88"/>
      <c r="S15" s="77"/>
      <c r="T15" s="77"/>
      <c r="U15" s="77"/>
      <c r="V15" s="94"/>
    </row>
    <row r="16" customFormat="false" ht="16.5" hidden="false" customHeight="true" outlineLevel="0" collapsed="false">
      <c r="B16" s="21" t="s">
        <v>35</v>
      </c>
      <c r="C16" s="22" t="n">
        <v>101520</v>
      </c>
      <c r="D16" s="23" t="n">
        <f aca="false">C16/$C$5</f>
        <v>0.12</v>
      </c>
      <c r="F16" s="95"/>
      <c r="G16" s="96"/>
      <c r="H16" s="96"/>
      <c r="I16" s="97"/>
      <c r="J16" s="98" t="s">
        <v>34</v>
      </c>
      <c r="K16" s="96"/>
      <c r="L16" s="99"/>
      <c r="M16" s="100"/>
      <c r="N16" s="97"/>
      <c r="O16" s="101"/>
      <c r="P16" s="96"/>
      <c r="Q16" s="102"/>
      <c r="R16" s="96"/>
      <c r="S16" s="96"/>
      <c r="T16" s="96"/>
      <c r="U16" s="96"/>
      <c r="V16" s="103"/>
    </row>
    <row r="17" customFormat="false" ht="18" hidden="false" customHeight="true" outlineLevel="0" collapsed="false">
      <c r="B17" s="21" t="s">
        <v>36</v>
      </c>
      <c r="C17" s="22" t="n">
        <v>30879</v>
      </c>
      <c r="D17" s="23" t="n">
        <f aca="false">C17/$C$5</f>
        <v>0.0365</v>
      </c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5" t="s">
        <v>37</v>
      </c>
      <c r="Q17" s="106" t="n">
        <f aca="false">SUM(Q10:Q16)</f>
        <v>296240</v>
      </c>
      <c r="R17" s="107" t="n">
        <f aca="false">SUM(R10:R16)</f>
        <v>1</v>
      </c>
      <c r="S17" s="104"/>
      <c r="T17" s="104"/>
      <c r="U17" s="104"/>
      <c r="V17" s="104"/>
    </row>
    <row r="18" customFormat="false" ht="16.5" hidden="false" customHeight="true" outlineLevel="0" collapsed="false">
      <c r="B18" s="21" t="s">
        <v>38</v>
      </c>
      <c r="C18" s="22" t="n">
        <v>28341</v>
      </c>
      <c r="D18" s="23" t="n">
        <f aca="false">C18/$C$5</f>
        <v>0.0335</v>
      </c>
    </row>
    <row r="19" customFormat="false" ht="15.75" hidden="false" customHeight="false" outlineLevel="0" collapsed="false">
      <c r="B19" s="21" t="s">
        <v>39</v>
      </c>
      <c r="C19" s="22" t="n">
        <v>42300</v>
      </c>
      <c r="D19" s="23" t="n">
        <f aca="false">C19/$C$5</f>
        <v>0.05</v>
      </c>
      <c r="F19" s="108" t="s">
        <v>40</v>
      </c>
    </row>
    <row r="20" customFormat="false" ht="15.75" hidden="false" customHeight="false" outlineLevel="0" collapsed="false">
      <c r="B20" s="71"/>
      <c r="C20" s="72"/>
      <c r="D20" s="109"/>
      <c r="F20" s="110" t="s">
        <v>41</v>
      </c>
    </row>
    <row r="21" customFormat="false" ht="15.75" hidden="false" customHeight="false" outlineLevel="0" collapsed="false">
      <c r="B21" s="71"/>
      <c r="C21" s="72"/>
      <c r="D21" s="109"/>
      <c r="F21" s="110" t="s">
        <v>42</v>
      </c>
    </row>
    <row r="22" customFormat="false" ht="15.75" hidden="false" customHeight="false" outlineLevel="0" collapsed="false">
      <c r="B22" s="71"/>
      <c r="C22" s="72"/>
      <c r="D22" s="109"/>
      <c r="F22" s="110" t="s">
        <v>43</v>
      </c>
    </row>
    <row r="23" customFormat="false" ht="16.5" hidden="false" customHeight="true" outlineLevel="0" collapsed="false">
      <c r="B23" s="71"/>
      <c r="C23" s="15"/>
      <c r="D23" s="73"/>
      <c r="F23" s="110" t="s">
        <v>44</v>
      </c>
    </row>
    <row r="24" customFormat="false" ht="16.5" hidden="false" customHeight="true" outlineLevel="0" collapsed="false">
      <c r="B24" s="8" t="s">
        <v>45</v>
      </c>
      <c r="C24" s="9" t="n">
        <f aca="false">C7+C15</f>
        <v>549760</v>
      </c>
      <c r="D24" s="10" t="n">
        <f aca="false">C24/$C$5</f>
        <v>0.64983451536643</v>
      </c>
    </row>
    <row r="25" customFormat="false" ht="16.5" hidden="false" customHeight="true" outlineLevel="0" collapsed="false">
      <c r="B25" s="111"/>
      <c r="C25" s="15"/>
      <c r="D25" s="112"/>
      <c r="F25" s="113" t="s">
        <v>46</v>
      </c>
      <c r="Q25" s="114" t="n">
        <f aca="false">Q17-C26</f>
        <v>0</v>
      </c>
    </row>
    <row r="26" customFormat="false" ht="16.5" hidden="false" customHeight="true" outlineLevel="0" collapsed="false">
      <c r="B26" s="8" t="s">
        <v>47</v>
      </c>
      <c r="C26" s="9" t="n">
        <f aca="false">C5-C24</f>
        <v>296240</v>
      </c>
      <c r="D26" s="10" t="n">
        <f aca="false">C26/$C$5</f>
        <v>0.35016548463357</v>
      </c>
      <c r="F26" s="113" t="s">
        <v>48</v>
      </c>
      <c r="Q26" s="114" t="n">
        <f aca="false">SUMPRODUCT(G10:G16,H10:H16)-C5</f>
        <v>0</v>
      </c>
    </row>
    <row r="27" customFormat="false" ht="16.5" hidden="false" customHeight="true" outlineLevel="0" collapsed="false">
      <c r="B27" s="14"/>
      <c r="C27" s="115"/>
      <c r="D27" s="16"/>
    </row>
    <row r="28" customFormat="false" ht="16.5" hidden="false" customHeight="true" outlineLevel="0" collapsed="false">
      <c r="B28" s="8" t="s">
        <v>49</v>
      </c>
      <c r="C28" s="9" t="n">
        <f aca="false">SUM(C29:C42)</f>
        <v>225500</v>
      </c>
      <c r="D28" s="10" t="n">
        <f aca="false">C28/$C$5</f>
        <v>0.266548463356974</v>
      </c>
      <c r="F28" s="116" t="s">
        <v>50</v>
      </c>
    </row>
    <row r="29" customFormat="false" ht="15.75" hidden="false" customHeight="false" outlineLevel="0" collapsed="false">
      <c r="B29" s="71" t="s">
        <v>51</v>
      </c>
      <c r="C29" s="117" t="n">
        <v>98000</v>
      </c>
      <c r="D29" s="23" t="n">
        <f aca="false">C29/$C$5</f>
        <v>0.115839243498818</v>
      </c>
    </row>
    <row r="30" customFormat="false" ht="15.75" hidden="false" customHeight="false" outlineLevel="0" collapsed="false">
      <c r="B30" s="71" t="s">
        <v>52</v>
      </c>
      <c r="C30" s="117" t="n">
        <v>34000</v>
      </c>
      <c r="D30" s="23" t="n">
        <f aca="false">C30/$C$5</f>
        <v>0.0401891252955083</v>
      </c>
    </row>
    <row r="31" customFormat="false" ht="15.75" hidden="false" customHeight="false" outlineLevel="0" collapsed="false">
      <c r="B31" s="71" t="s">
        <v>53</v>
      </c>
      <c r="C31" s="117" t="n">
        <v>14500</v>
      </c>
      <c r="D31" s="23" t="n">
        <f aca="false">C31/$C$5</f>
        <v>0.0171394799054374</v>
      </c>
    </row>
    <row r="32" customFormat="false" ht="15.75" hidden="false" customHeight="false" outlineLevel="0" collapsed="false">
      <c r="B32" s="71" t="s">
        <v>54</v>
      </c>
      <c r="C32" s="117" t="n">
        <v>2300</v>
      </c>
      <c r="D32" s="23" t="n">
        <f aca="false">C32/$C$5</f>
        <v>0.00271867612293144</v>
      </c>
    </row>
    <row r="33" customFormat="false" ht="15.75" hidden="false" customHeight="false" outlineLevel="0" collapsed="false">
      <c r="B33" s="71" t="s">
        <v>55</v>
      </c>
      <c r="C33" s="117" t="n">
        <v>3800</v>
      </c>
      <c r="D33" s="23" t="n">
        <f aca="false">C33/$C$5</f>
        <v>0.00449172576832151</v>
      </c>
    </row>
    <row r="34" customFormat="false" ht="15.75" hidden="false" customHeight="false" outlineLevel="0" collapsed="false">
      <c r="B34" s="71" t="s">
        <v>56</v>
      </c>
      <c r="C34" s="117" t="n">
        <v>600</v>
      </c>
      <c r="D34" s="23" t="n">
        <f aca="false">C34/$C$5</f>
        <v>0.000709219858156028</v>
      </c>
    </row>
    <row r="35" customFormat="false" ht="15.75" hidden="false" customHeight="false" outlineLevel="0" collapsed="false">
      <c r="B35" s="71" t="s">
        <v>57</v>
      </c>
      <c r="C35" s="117" t="n">
        <v>4200</v>
      </c>
      <c r="D35" s="23" t="n">
        <f aca="false">C35/$C$5</f>
        <v>0.0049645390070922</v>
      </c>
    </row>
    <row r="36" customFormat="false" ht="15.75" hidden="false" customHeight="false" outlineLevel="0" collapsed="false">
      <c r="B36" s="71" t="s">
        <v>58</v>
      </c>
      <c r="C36" s="117" t="n">
        <v>900</v>
      </c>
      <c r="D36" s="23" t="n">
        <f aca="false">C36/$C$5</f>
        <v>0.00106382978723404</v>
      </c>
    </row>
    <row r="37" customFormat="false" ht="15.75" hidden="false" customHeight="false" outlineLevel="0" collapsed="false">
      <c r="B37" s="71" t="s">
        <v>59</v>
      </c>
      <c r="C37" s="117" t="n">
        <v>1100</v>
      </c>
      <c r="D37" s="23" t="n">
        <f aca="false">C37/$C$5</f>
        <v>0.00130023640661939</v>
      </c>
    </row>
    <row r="38" customFormat="false" ht="15.75" hidden="false" customHeight="false" outlineLevel="0" collapsed="false">
      <c r="B38" s="71" t="s">
        <v>60</v>
      </c>
      <c r="C38" s="117" t="n">
        <v>16000</v>
      </c>
      <c r="D38" s="23" t="n">
        <f aca="false">C38/$C$5</f>
        <v>0.0189125295508274</v>
      </c>
    </row>
    <row r="39" customFormat="false" ht="15.75" hidden="false" customHeight="false" outlineLevel="0" collapsed="false">
      <c r="B39" s="71" t="s">
        <v>61</v>
      </c>
      <c r="C39" s="117" t="n">
        <v>26000</v>
      </c>
      <c r="D39" s="23" t="n">
        <f aca="false">C39/$C$5</f>
        <v>0.0307328605200946</v>
      </c>
    </row>
    <row r="40" customFormat="false" ht="15.75" hidden="false" customHeight="false" outlineLevel="0" collapsed="false">
      <c r="B40" s="71" t="s">
        <v>62</v>
      </c>
      <c r="C40" s="117" t="n">
        <v>18000</v>
      </c>
      <c r="D40" s="23" t="n">
        <f aca="false">C40/$C$5</f>
        <v>0.0212765957446809</v>
      </c>
    </row>
    <row r="41" customFormat="false" ht="16.5" hidden="false" customHeight="true" outlineLevel="0" collapsed="false">
      <c r="B41" s="71" t="s">
        <v>63</v>
      </c>
      <c r="C41" s="117" t="n">
        <v>2700</v>
      </c>
      <c r="D41" s="23" t="n">
        <f aca="false">C41/$C$5</f>
        <v>0.00319148936170213</v>
      </c>
    </row>
    <row r="42" customFormat="false" ht="16.5" hidden="false" customHeight="true" outlineLevel="0" collapsed="false">
      <c r="B42" s="71" t="s">
        <v>64</v>
      </c>
      <c r="C42" s="117" t="n">
        <v>3400</v>
      </c>
      <c r="D42" s="23" t="n">
        <f aca="false">C42/$C$5</f>
        <v>0.00401891252955083</v>
      </c>
    </row>
    <row r="43" customFormat="false" ht="15.75" hidden="false" customHeight="false" outlineLevel="0" collapsed="false">
      <c r="B43" s="118" t="s">
        <v>65</v>
      </c>
      <c r="C43" s="9" t="n">
        <f aca="false">C26-C28</f>
        <v>70740</v>
      </c>
      <c r="D43" s="10" t="n">
        <f aca="false">C43/$C$5</f>
        <v>0.0836170212765958</v>
      </c>
    </row>
  </sheetData>
  <mergeCells count="15">
    <mergeCell ref="B1:D1"/>
    <mergeCell ref="B2:D2"/>
    <mergeCell ref="F6:V6"/>
    <mergeCell ref="F8:F9"/>
    <mergeCell ref="G8:G9"/>
    <mergeCell ref="H8:H9"/>
    <mergeCell ref="I8:K8"/>
    <mergeCell ref="L8:M8"/>
    <mergeCell ref="N8:N9"/>
    <mergeCell ref="O8:P8"/>
    <mergeCell ref="Q8:R8"/>
    <mergeCell ref="S8:S9"/>
    <mergeCell ref="T8:T9"/>
    <mergeCell ref="U8:U9"/>
    <mergeCell ref="V8:V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.5"/>
    <col collapsed="false" customWidth="true" hidden="false" outlineLevel="0" max="3" min="3" style="1" width="25.5"/>
    <col collapsed="false" customWidth="true" hidden="false" outlineLevel="0" max="4" min="4" style="2" width="12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16" min="9" style="1" width="13"/>
    <col collapsed="false" customWidth="true" hidden="false" outlineLevel="0" max="17" min="17" style="1" width="16"/>
    <col collapsed="false" customWidth="true" hidden="false" outlineLevel="0" max="19" min="18" style="1" width="13"/>
    <col collapsed="false" customWidth="true" hidden="false" outlineLevel="0" max="20" min="20" style="1" width="15"/>
    <col collapsed="false" customWidth="true" hidden="false" outlineLevel="0" max="21" min="21" style="1" width="13"/>
    <col collapsed="false" customWidth="true" hidden="false" outlineLevel="0" max="22" min="22" style="1" width="14"/>
  </cols>
  <sheetData>
    <row r="1" customFormat="false" ht="18" hidden="false" customHeight="true" outlineLevel="0" collapsed="false">
      <c r="B1" s="3" t="s">
        <v>0</v>
      </c>
      <c r="C1" s="3"/>
      <c r="D1" s="3"/>
    </row>
    <row r="2" customFormat="false" ht="15.75" hidden="false" customHeight="false" outlineLevel="0" collapsed="false">
      <c r="B2" s="4" t="s">
        <v>66</v>
      </c>
      <c r="C2" s="4"/>
      <c r="D2" s="4"/>
    </row>
    <row r="3" customFormat="false" ht="15.75" hidden="false" customHeight="false" outlineLevel="0" collapsed="false">
      <c r="B3" s="5" t="s">
        <v>2</v>
      </c>
      <c r="C3" s="6" t="s">
        <v>3</v>
      </c>
      <c r="D3" s="6" t="s">
        <v>4</v>
      </c>
    </row>
    <row r="4" customFormat="false" ht="16.5" hidden="false" customHeight="true" outlineLevel="0" collapsed="false">
      <c r="B4" s="7"/>
    </row>
    <row r="5" customFormat="false" ht="18" hidden="false" customHeight="true" outlineLevel="0" collapsed="false">
      <c r="B5" s="8" t="s">
        <v>5</v>
      </c>
      <c r="C5" s="9" t="n">
        <v>1910000</v>
      </c>
      <c r="D5" s="10" t="n">
        <f aca="false">C5/$C$5</f>
        <v>1</v>
      </c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3"/>
    </row>
    <row r="6" customFormat="false" ht="16.5" hidden="false" customHeight="true" outlineLevel="0" collapsed="false">
      <c r="B6" s="14"/>
      <c r="C6" s="15"/>
      <c r="D6" s="16"/>
      <c r="F6" s="17" t="s">
        <v>67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customFormat="false" ht="16.5" hidden="false" customHeight="true" outlineLevel="0" collapsed="false">
      <c r="B7" s="8" t="s">
        <v>7</v>
      </c>
      <c r="C7" s="9" t="n">
        <f aca="false">SUM(C8:C14)</f>
        <v>949800</v>
      </c>
      <c r="D7" s="10" t="n">
        <f aca="false">C7/$C$5</f>
        <v>0.497277486910995</v>
      </c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20"/>
    </row>
    <row r="8" customFormat="false" ht="16.5" hidden="false" customHeight="true" outlineLevel="0" collapsed="false">
      <c r="B8" s="21" t="s">
        <v>68</v>
      </c>
      <c r="C8" s="22" t="n">
        <v>797000</v>
      </c>
      <c r="D8" s="23" t="n">
        <f aca="false">C8/$C$5</f>
        <v>0.417277486910995</v>
      </c>
      <c r="F8" s="24" t="s">
        <v>9</v>
      </c>
      <c r="G8" s="25" t="s">
        <v>10</v>
      </c>
      <c r="H8" s="25" t="s">
        <v>11</v>
      </c>
      <c r="I8" s="26" t="s">
        <v>12</v>
      </c>
      <c r="J8" s="26"/>
      <c r="K8" s="26"/>
      <c r="L8" s="26" t="s">
        <v>13</v>
      </c>
      <c r="M8" s="26"/>
      <c r="N8" s="27" t="s">
        <v>14</v>
      </c>
      <c r="O8" s="26" t="s">
        <v>15</v>
      </c>
      <c r="P8" s="26"/>
      <c r="Q8" s="26" t="s">
        <v>16</v>
      </c>
      <c r="R8" s="26"/>
      <c r="S8" s="25" t="s">
        <v>17</v>
      </c>
      <c r="T8" s="28" t="s">
        <v>18</v>
      </c>
      <c r="U8" s="25" t="s">
        <v>19</v>
      </c>
      <c r="V8" s="29" t="s">
        <v>20</v>
      </c>
    </row>
    <row r="9" customFormat="false" ht="16.5" hidden="false" customHeight="true" outlineLevel="0" collapsed="false">
      <c r="B9" s="21" t="s">
        <v>69</v>
      </c>
      <c r="C9" s="22" t="n">
        <v>57300</v>
      </c>
      <c r="D9" s="23" t="n">
        <f aca="false">C9/$C$5</f>
        <v>0.03</v>
      </c>
      <c r="F9" s="24"/>
      <c r="G9" s="25"/>
      <c r="H9" s="25"/>
      <c r="I9" s="30" t="s">
        <v>22</v>
      </c>
      <c r="J9" s="31" t="s">
        <v>23</v>
      </c>
      <c r="K9" s="32" t="s">
        <v>24</v>
      </c>
      <c r="L9" s="33" t="s">
        <v>4</v>
      </c>
      <c r="M9" s="34" t="s">
        <v>25</v>
      </c>
      <c r="N9" s="27"/>
      <c r="O9" s="35" t="s">
        <v>25</v>
      </c>
      <c r="P9" s="36" t="s">
        <v>4</v>
      </c>
      <c r="Q9" s="37" t="s">
        <v>25</v>
      </c>
      <c r="R9" s="33" t="s">
        <v>4</v>
      </c>
      <c r="S9" s="25"/>
      <c r="T9" s="25"/>
      <c r="U9" s="25"/>
      <c r="V9" s="29"/>
    </row>
    <row r="10" customFormat="false" ht="16.5" hidden="false" customHeight="true" outlineLevel="0" collapsed="false">
      <c r="B10" s="21" t="s">
        <v>26</v>
      </c>
      <c r="C10" s="22" t="n">
        <v>22920</v>
      </c>
      <c r="D10" s="23" t="n">
        <f aca="false">C10/$C$5</f>
        <v>0.012</v>
      </c>
      <c r="F10" s="38" t="s">
        <v>27</v>
      </c>
      <c r="G10" s="39" t="n">
        <v>9000</v>
      </c>
      <c r="H10" s="40" t="n">
        <v>70</v>
      </c>
      <c r="I10" s="41" t="n">
        <v>31</v>
      </c>
      <c r="J10" s="42" t="n">
        <f aca="false">($C$7-$C$8)/$C$5</f>
        <v>0.08</v>
      </c>
      <c r="K10" s="43" t="n">
        <f aca="false">H10*J10</f>
        <v>5.6</v>
      </c>
      <c r="L10" s="44" t="n">
        <f aca="false">$C$15/$C$5</f>
        <v>0.26</v>
      </c>
      <c r="M10" s="45" t="n">
        <f aca="false">H10*L10</f>
        <v>18.2</v>
      </c>
      <c r="N10" s="46" t="n">
        <f aca="false">I10+K10+M10</f>
        <v>54.8</v>
      </c>
      <c r="O10" s="47" t="n">
        <f aca="false">H10-N10</f>
        <v>15.2</v>
      </c>
      <c r="P10" s="48" t="n">
        <f aca="false">O10/H10</f>
        <v>0.217142857142857</v>
      </c>
      <c r="Q10" s="49" t="n">
        <f aca="false">O10*G10</f>
        <v>136800</v>
      </c>
      <c r="R10" s="48" t="n">
        <f aca="false">Q10/$Q$17</f>
        <v>0.295081967213115</v>
      </c>
      <c r="S10" s="50" t="n">
        <f aca="false">$C$28*R10/G10</f>
        <v>12.5770491803279</v>
      </c>
      <c r="T10" s="43" t="n">
        <f aca="false">(I10+S10)/(1-(J10+L10))</f>
        <v>66.0258320914059</v>
      </c>
      <c r="U10" s="51" t="n">
        <v>0.08</v>
      </c>
      <c r="V10" s="52" t="n">
        <f aca="false">(I10+S10)/(1-(J10+L10+U10))</f>
        <v>75.1328434143584</v>
      </c>
    </row>
    <row r="11" customFormat="false" ht="15.75" hidden="false" customHeight="false" outlineLevel="0" collapsed="false">
      <c r="B11" s="21" t="s">
        <v>70</v>
      </c>
      <c r="C11" s="22" t="n">
        <v>43930</v>
      </c>
      <c r="D11" s="23" t="n">
        <f aca="false">C11/$C$5</f>
        <v>0.023</v>
      </c>
      <c r="F11" s="38" t="s">
        <v>29</v>
      </c>
      <c r="G11" s="39" t="n">
        <v>7000</v>
      </c>
      <c r="H11" s="40" t="n">
        <v>90</v>
      </c>
      <c r="I11" s="41" t="n">
        <v>38</v>
      </c>
      <c r="J11" s="53" t="n">
        <f aca="false">($C$7-$C$8)/$C$5</f>
        <v>0.08</v>
      </c>
      <c r="K11" s="46" t="n">
        <f aca="false">H11*J11</f>
        <v>7.2</v>
      </c>
      <c r="L11" s="54" t="n">
        <f aca="false">$C$15/$C$5</f>
        <v>0.26</v>
      </c>
      <c r="M11" s="55" t="n">
        <f aca="false">H11*L11</f>
        <v>23.4</v>
      </c>
      <c r="N11" s="56" t="n">
        <f aca="false">I11+K11+M11</f>
        <v>68.6</v>
      </c>
      <c r="O11" s="57" t="n">
        <f aca="false">H11-N11</f>
        <v>21.4</v>
      </c>
      <c r="P11" s="58" t="n">
        <f aca="false">O11/H11</f>
        <v>0.237777777777778</v>
      </c>
      <c r="Q11" s="59" t="n">
        <f aca="false">O11*G11</f>
        <v>149800</v>
      </c>
      <c r="R11" s="60" t="n">
        <f aca="false">Q11/$Q$17</f>
        <v>0.323123382226057</v>
      </c>
      <c r="S11" s="61" t="n">
        <f aca="false">$C$28*R11/G11</f>
        <v>17.7071613459879</v>
      </c>
      <c r="T11" s="50" t="n">
        <f aca="false">(I11+S11)/(1-(J11+L11))</f>
        <v>84.4047899181635</v>
      </c>
      <c r="U11" s="51" t="n">
        <v>0.1</v>
      </c>
      <c r="V11" s="62" t="n">
        <f aca="false">(I11+S11)/(1-(J11+L11+U11))</f>
        <v>99.4770738321213</v>
      </c>
    </row>
    <row r="12" customFormat="false" ht="15.75" hidden="false" customHeight="false" outlineLevel="0" collapsed="false">
      <c r="B12" s="21" t="s">
        <v>71</v>
      </c>
      <c r="C12" s="22" t="n">
        <v>28650</v>
      </c>
      <c r="D12" s="23" t="n">
        <f aca="false">C12/$C$5</f>
        <v>0.015</v>
      </c>
      <c r="F12" s="38" t="s">
        <v>31</v>
      </c>
      <c r="G12" s="39" t="n">
        <v>4000</v>
      </c>
      <c r="H12" s="40" t="n">
        <v>80</v>
      </c>
      <c r="I12" s="41" t="n">
        <v>30</v>
      </c>
      <c r="J12" s="53" t="n">
        <f aca="false">($C$7-$C$8)/$C$5</f>
        <v>0.08</v>
      </c>
      <c r="K12" s="43" t="n">
        <f aca="false">H12*J12</f>
        <v>6.4</v>
      </c>
      <c r="L12" s="63" t="n">
        <f aca="false">$C$15/$C$5</f>
        <v>0.26</v>
      </c>
      <c r="M12" s="64" t="n">
        <f aca="false">H12*L12</f>
        <v>20.8</v>
      </c>
      <c r="N12" s="65" t="n">
        <f aca="false">I12+K12+M12</f>
        <v>57.2</v>
      </c>
      <c r="O12" s="57" t="n">
        <f aca="false">H12-N12</f>
        <v>22.8</v>
      </c>
      <c r="P12" s="66" t="n">
        <f aca="false">O12/H12</f>
        <v>0.285</v>
      </c>
      <c r="Q12" s="67" t="n">
        <f aca="false">O12*G12</f>
        <v>91200</v>
      </c>
      <c r="R12" s="68" t="n">
        <f aca="false">Q12/$Q$17</f>
        <v>0.19672131147541</v>
      </c>
      <c r="S12" s="43" t="n">
        <f aca="false">$C$28*R12/G12</f>
        <v>18.8655737704918</v>
      </c>
      <c r="T12" s="69" t="n">
        <f aca="false">(I12+S12)/(1-(J12+L12))</f>
        <v>74.0387481371088</v>
      </c>
      <c r="U12" s="51" t="n">
        <v>0.12</v>
      </c>
      <c r="V12" s="70" t="n">
        <f aca="false">(I12+S12)/(1-(J12+L12+U12))</f>
        <v>90.4918032786885</v>
      </c>
    </row>
    <row r="13" customFormat="false" ht="15.75" hidden="false" customHeight="false" outlineLevel="0" collapsed="false">
      <c r="B13" s="71"/>
      <c r="C13" s="72"/>
      <c r="D13" s="73"/>
      <c r="F13" s="38" t="s">
        <v>32</v>
      </c>
      <c r="G13" s="39" t="n">
        <v>3000</v>
      </c>
      <c r="H13" s="40" t="n">
        <v>110</v>
      </c>
      <c r="I13" s="41" t="n">
        <v>44</v>
      </c>
      <c r="J13" s="53" t="n">
        <f aca="false">($C$7-$C$8)/$C$5</f>
        <v>0.08</v>
      </c>
      <c r="K13" s="43" t="n">
        <f aca="false">H13*J13</f>
        <v>8.8</v>
      </c>
      <c r="L13" s="63" t="n">
        <f aca="false">$C$15/$C$5</f>
        <v>0.26</v>
      </c>
      <c r="M13" s="45" t="n">
        <f aca="false">H13*L13</f>
        <v>28.6</v>
      </c>
      <c r="N13" s="46" t="n">
        <f aca="false">I13+K13+M13</f>
        <v>81.4</v>
      </c>
      <c r="O13" s="57" t="n">
        <f aca="false">H13-N13</f>
        <v>28.6</v>
      </c>
      <c r="P13" s="68" t="n">
        <f aca="false">O13/H13</f>
        <v>0.26</v>
      </c>
      <c r="Q13" s="74" t="n">
        <f aca="false">O13*G13</f>
        <v>85800</v>
      </c>
      <c r="R13" s="68" t="n">
        <f aca="false">Q13/$Q$17</f>
        <v>0.185073339085418</v>
      </c>
      <c r="S13" s="43" t="n">
        <f aca="false">$C$28*R13/G13</f>
        <v>23.6647109577222</v>
      </c>
      <c r="T13" s="43" t="n">
        <f aca="false">(I13+S13)/(1-(J13+L13))</f>
        <v>102.522289329882</v>
      </c>
      <c r="U13" s="51" t="n">
        <v>0.15</v>
      </c>
      <c r="V13" s="75" t="n">
        <f aca="false">(I13+S13)/(1-(J13+L13+U13))</f>
        <v>132.675903838671</v>
      </c>
    </row>
    <row r="14" customFormat="false" ht="16.5" hidden="false" customHeight="true" outlineLevel="0" collapsed="false">
      <c r="B14" s="71"/>
      <c r="C14" s="72"/>
      <c r="D14" s="73"/>
      <c r="F14" s="38"/>
      <c r="G14" s="76"/>
      <c r="H14" s="77"/>
      <c r="I14" s="78"/>
      <c r="J14" s="79"/>
      <c r="K14" s="80"/>
      <c r="L14" s="81"/>
      <c r="M14" s="82"/>
      <c r="N14" s="78"/>
      <c r="O14" s="83"/>
      <c r="P14" s="68"/>
      <c r="Q14" s="84"/>
      <c r="R14" s="68"/>
      <c r="S14" s="80"/>
      <c r="T14" s="80"/>
      <c r="U14" s="80"/>
      <c r="V14" s="85"/>
    </row>
    <row r="15" customFormat="false" ht="16.5" hidden="false" customHeight="true" outlineLevel="0" collapsed="false">
      <c r="B15" s="8" t="s">
        <v>33</v>
      </c>
      <c r="C15" s="9" t="n">
        <f aca="false">SUM(C16:C22)</f>
        <v>496600</v>
      </c>
      <c r="D15" s="10" t="n">
        <f aca="false">C15/$C$5</f>
        <v>0.26</v>
      </c>
      <c r="F15" s="86"/>
      <c r="G15" s="87"/>
      <c r="H15" s="88"/>
      <c r="I15" s="89"/>
      <c r="J15" s="90"/>
      <c r="K15" s="88" t="s">
        <v>34</v>
      </c>
      <c r="L15" s="81"/>
      <c r="M15" s="91"/>
      <c r="N15" s="89"/>
      <c r="O15" s="92"/>
      <c r="P15" s="88"/>
      <c r="Q15" s="93"/>
      <c r="R15" s="88"/>
      <c r="S15" s="77"/>
      <c r="T15" s="77"/>
      <c r="U15" s="77"/>
      <c r="V15" s="94"/>
    </row>
    <row r="16" customFormat="false" ht="16.5" hidden="false" customHeight="true" outlineLevel="0" collapsed="false">
      <c r="B16" s="21" t="s">
        <v>35</v>
      </c>
      <c r="C16" s="22" t="n">
        <v>229200</v>
      </c>
      <c r="D16" s="23" t="n">
        <f aca="false">C16/$C$5</f>
        <v>0.12</v>
      </c>
      <c r="F16" s="95"/>
      <c r="G16" s="96"/>
      <c r="H16" s="96"/>
      <c r="I16" s="97"/>
      <c r="J16" s="98" t="s">
        <v>34</v>
      </c>
      <c r="K16" s="96"/>
      <c r="L16" s="99"/>
      <c r="M16" s="100"/>
      <c r="N16" s="97"/>
      <c r="O16" s="101"/>
      <c r="P16" s="96"/>
      <c r="Q16" s="102"/>
      <c r="R16" s="96"/>
      <c r="S16" s="96"/>
      <c r="T16" s="96"/>
      <c r="U16" s="96"/>
      <c r="V16" s="103"/>
    </row>
    <row r="17" customFormat="false" ht="18" hidden="false" customHeight="true" outlineLevel="0" collapsed="false">
      <c r="B17" s="21" t="s">
        <v>36</v>
      </c>
      <c r="C17" s="22" t="n">
        <v>176675</v>
      </c>
      <c r="D17" s="23" t="n">
        <f aca="false">C17/$C$5</f>
        <v>0.0925</v>
      </c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5" t="s">
        <v>37</v>
      </c>
      <c r="Q17" s="106" t="n">
        <f aca="false">SUM(Q10:Q16)</f>
        <v>463600</v>
      </c>
      <c r="R17" s="107" t="n">
        <f aca="false">SUM(R10:R16)</f>
        <v>1</v>
      </c>
      <c r="S17" s="104"/>
      <c r="T17" s="104"/>
      <c r="U17" s="104"/>
      <c r="V17" s="104"/>
    </row>
    <row r="18" customFormat="false" ht="16.5" hidden="false" customHeight="true" outlineLevel="0" collapsed="false">
      <c r="B18" s="21" t="s">
        <v>72</v>
      </c>
      <c r="C18" s="22" t="n">
        <v>52525</v>
      </c>
      <c r="D18" s="23" t="n">
        <f aca="false">C18/$C$5</f>
        <v>0.0275</v>
      </c>
    </row>
    <row r="19" customFormat="false" ht="15.75" hidden="false" customHeight="false" outlineLevel="0" collapsed="false">
      <c r="B19" s="21" t="s">
        <v>39</v>
      </c>
      <c r="C19" s="22" t="n">
        <v>38200</v>
      </c>
      <c r="D19" s="23" t="n">
        <f aca="false">C19/$C$5</f>
        <v>0.02</v>
      </c>
      <c r="F19" s="108" t="s">
        <v>40</v>
      </c>
    </row>
    <row r="20" customFormat="false" ht="15.75" hidden="false" customHeight="false" outlineLevel="0" collapsed="false">
      <c r="B20" s="71"/>
      <c r="C20" s="72"/>
      <c r="D20" s="109"/>
      <c r="F20" s="110" t="s">
        <v>73</v>
      </c>
    </row>
    <row r="21" customFormat="false" ht="15.75" hidden="false" customHeight="false" outlineLevel="0" collapsed="false">
      <c r="B21" s="71"/>
      <c r="C21" s="72"/>
      <c r="D21" s="109"/>
      <c r="F21" s="110" t="s">
        <v>74</v>
      </c>
    </row>
    <row r="22" customFormat="false" ht="15.75" hidden="false" customHeight="false" outlineLevel="0" collapsed="false">
      <c r="B22" s="71"/>
      <c r="C22" s="72"/>
      <c r="D22" s="109"/>
      <c r="F22" s="110" t="s">
        <v>75</v>
      </c>
    </row>
    <row r="23" customFormat="false" ht="16.5" hidden="false" customHeight="true" outlineLevel="0" collapsed="false">
      <c r="B23" s="71"/>
      <c r="C23" s="15"/>
      <c r="D23" s="73"/>
      <c r="F23" s="110" t="s">
        <v>76</v>
      </c>
    </row>
    <row r="24" customFormat="false" ht="16.5" hidden="false" customHeight="true" outlineLevel="0" collapsed="false">
      <c r="B24" s="8" t="s">
        <v>45</v>
      </c>
      <c r="C24" s="9" t="n">
        <f aca="false">C7+C15</f>
        <v>1446400</v>
      </c>
      <c r="D24" s="10" t="n">
        <f aca="false">C24/$C$5</f>
        <v>0.757277486910995</v>
      </c>
    </row>
    <row r="25" customFormat="false" ht="16.5" hidden="false" customHeight="true" outlineLevel="0" collapsed="false">
      <c r="B25" s="111"/>
      <c r="C25" s="15"/>
      <c r="D25" s="112"/>
      <c r="F25" s="113" t="s">
        <v>46</v>
      </c>
      <c r="Q25" s="114" t="n">
        <f aca="false">Q17-C26</f>
        <v>0</v>
      </c>
    </row>
    <row r="26" customFormat="false" ht="16.5" hidden="false" customHeight="true" outlineLevel="0" collapsed="false">
      <c r="B26" s="8" t="s">
        <v>47</v>
      </c>
      <c r="C26" s="9" t="n">
        <f aca="false">C5-C24</f>
        <v>463600</v>
      </c>
      <c r="D26" s="10" t="n">
        <f aca="false">C26/$C$5</f>
        <v>0.242722513089005</v>
      </c>
      <c r="F26" s="113" t="s">
        <v>48</v>
      </c>
      <c r="Q26" s="114" t="n">
        <f aca="false">SUMPRODUCT(G10:G16,H10:H16)-C5</f>
        <v>0</v>
      </c>
    </row>
    <row r="27" customFormat="false" ht="16.5" hidden="false" customHeight="true" outlineLevel="0" collapsed="false">
      <c r="B27" s="14"/>
      <c r="C27" s="115"/>
      <c r="D27" s="16"/>
    </row>
    <row r="28" customFormat="false" ht="16.5" hidden="false" customHeight="true" outlineLevel="0" collapsed="false">
      <c r="B28" s="8" t="s">
        <v>49</v>
      </c>
      <c r="C28" s="9" t="n">
        <f aca="false">SUM(C29:C42)</f>
        <v>383600</v>
      </c>
      <c r="D28" s="10" t="n">
        <f aca="false">C28/$C$5</f>
        <v>0.200837696335079</v>
      </c>
      <c r="F28" s="116" t="s">
        <v>50</v>
      </c>
    </row>
    <row r="29" customFormat="false" ht="15.75" hidden="false" customHeight="false" outlineLevel="0" collapsed="false">
      <c r="B29" s="71" t="s">
        <v>51</v>
      </c>
      <c r="C29" s="117" t="n">
        <v>150000</v>
      </c>
      <c r="D29" s="23" t="n">
        <f aca="false">C29/$C$5</f>
        <v>0.0785340314136126</v>
      </c>
    </row>
    <row r="30" customFormat="false" ht="15.75" hidden="false" customHeight="false" outlineLevel="0" collapsed="false">
      <c r="B30" s="71" t="s">
        <v>52</v>
      </c>
      <c r="C30" s="117" t="n">
        <v>42000</v>
      </c>
      <c r="D30" s="23" t="n">
        <f aca="false">C30/$C$5</f>
        <v>0.0219895287958115</v>
      </c>
    </row>
    <row r="31" customFormat="false" ht="15.75" hidden="false" customHeight="false" outlineLevel="0" collapsed="false">
      <c r="B31" s="71" t="s">
        <v>77</v>
      </c>
      <c r="C31" s="117" t="n">
        <v>38000</v>
      </c>
      <c r="D31" s="23" t="n">
        <f aca="false">C31/$C$5</f>
        <v>0.0198952879581152</v>
      </c>
    </row>
    <row r="32" customFormat="false" ht="15.75" hidden="false" customHeight="false" outlineLevel="0" collapsed="false">
      <c r="B32" s="71" t="s">
        <v>78</v>
      </c>
      <c r="C32" s="117" t="n">
        <v>12000</v>
      </c>
      <c r="D32" s="23" t="n">
        <f aca="false">C32/$C$5</f>
        <v>0.00628272251308901</v>
      </c>
    </row>
    <row r="33" customFormat="false" ht="15.75" hidden="false" customHeight="false" outlineLevel="0" collapsed="false">
      <c r="B33" s="71" t="s">
        <v>54</v>
      </c>
      <c r="C33" s="117" t="n">
        <v>3200</v>
      </c>
      <c r="D33" s="23" t="n">
        <f aca="false">C33/$C$5</f>
        <v>0.00167539267015707</v>
      </c>
    </row>
    <row r="34" customFormat="false" ht="15.75" hidden="false" customHeight="false" outlineLevel="0" collapsed="false">
      <c r="B34" s="71" t="s">
        <v>55</v>
      </c>
      <c r="C34" s="117" t="n">
        <v>5500</v>
      </c>
      <c r="D34" s="23" t="n">
        <f aca="false">C34/$C$5</f>
        <v>0.00287958115183246</v>
      </c>
    </row>
    <row r="35" customFormat="false" ht="15.75" hidden="false" customHeight="false" outlineLevel="0" collapsed="false">
      <c r="B35" s="71" t="s">
        <v>57</v>
      </c>
      <c r="C35" s="117" t="n">
        <v>7500</v>
      </c>
      <c r="D35" s="23" t="n">
        <f aca="false">C35/$C$5</f>
        <v>0.00392670157068063</v>
      </c>
    </row>
    <row r="36" customFormat="false" ht="15.75" hidden="false" customHeight="false" outlineLevel="0" collapsed="false">
      <c r="B36" s="71" t="s">
        <v>58</v>
      </c>
      <c r="C36" s="117" t="n">
        <v>1200</v>
      </c>
      <c r="D36" s="23" t="n">
        <f aca="false">C36/$C$5</f>
        <v>0.000628272251308901</v>
      </c>
    </row>
    <row r="37" customFormat="false" ht="15.75" hidden="false" customHeight="false" outlineLevel="0" collapsed="false">
      <c r="B37" s="71" t="s">
        <v>79</v>
      </c>
      <c r="C37" s="117" t="n">
        <v>2400</v>
      </c>
      <c r="D37" s="23" t="n">
        <f aca="false">C37/$C$5</f>
        <v>0.0012565445026178</v>
      </c>
    </row>
    <row r="38" customFormat="false" ht="15.75" hidden="false" customHeight="false" outlineLevel="0" collapsed="false">
      <c r="B38" s="71" t="s">
        <v>80</v>
      </c>
      <c r="C38" s="117" t="n">
        <v>22000</v>
      </c>
      <c r="D38" s="23" t="n">
        <f aca="false">C38/$C$5</f>
        <v>0.0115183246073298</v>
      </c>
    </row>
    <row r="39" customFormat="false" ht="15.75" hidden="false" customHeight="false" outlineLevel="0" collapsed="false">
      <c r="B39" s="71" t="s">
        <v>61</v>
      </c>
      <c r="C39" s="117" t="n">
        <v>48000</v>
      </c>
      <c r="D39" s="23" t="n">
        <f aca="false">C39/$C$5</f>
        <v>0.025130890052356</v>
      </c>
    </row>
    <row r="40" customFormat="false" ht="15.75" hidden="false" customHeight="false" outlineLevel="0" collapsed="false">
      <c r="B40" s="71" t="s">
        <v>62</v>
      </c>
      <c r="C40" s="117" t="n">
        <v>30000</v>
      </c>
      <c r="D40" s="23" t="n">
        <f aca="false">C40/$C$5</f>
        <v>0.0157068062827225</v>
      </c>
    </row>
    <row r="41" customFormat="false" ht="16.5" hidden="false" customHeight="true" outlineLevel="0" collapsed="false">
      <c r="B41" s="71" t="s">
        <v>81</v>
      </c>
      <c r="C41" s="117" t="n">
        <v>15000</v>
      </c>
      <c r="D41" s="23" t="n">
        <f aca="false">C41/$C$5</f>
        <v>0.00785340314136126</v>
      </c>
    </row>
    <row r="42" customFormat="false" ht="16.5" hidden="false" customHeight="true" outlineLevel="0" collapsed="false">
      <c r="B42" s="71" t="s">
        <v>64</v>
      </c>
      <c r="C42" s="117" t="n">
        <v>6800</v>
      </c>
      <c r="D42" s="23" t="n">
        <f aca="false">C42/$C$5</f>
        <v>0.00356020942408377</v>
      </c>
    </row>
    <row r="43" customFormat="false" ht="15.75" hidden="false" customHeight="false" outlineLevel="0" collapsed="false">
      <c r="B43" s="118" t="s">
        <v>65</v>
      </c>
      <c r="C43" s="9" t="n">
        <f aca="false">C26-C28</f>
        <v>80000</v>
      </c>
      <c r="D43" s="10" t="n">
        <f aca="false">C43/$C$5</f>
        <v>0.0418848167539267</v>
      </c>
    </row>
  </sheetData>
  <mergeCells count="15">
    <mergeCell ref="B1:D1"/>
    <mergeCell ref="B2:D2"/>
    <mergeCell ref="F6:V6"/>
    <mergeCell ref="F8:F9"/>
    <mergeCell ref="G8:G9"/>
    <mergeCell ref="H8:H9"/>
    <mergeCell ref="I8:K8"/>
    <mergeCell ref="L8:M8"/>
    <mergeCell ref="N8:N9"/>
    <mergeCell ref="O8:P8"/>
    <mergeCell ref="Q8:R8"/>
    <mergeCell ref="S8:S9"/>
    <mergeCell ref="T8:T9"/>
    <mergeCell ref="U8:U9"/>
    <mergeCell ref="V8:V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.5"/>
    <col collapsed="false" customWidth="true" hidden="false" outlineLevel="0" max="3" min="3" style="1" width="25.5"/>
    <col collapsed="false" customWidth="true" hidden="false" outlineLevel="0" max="4" min="4" style="2" width="12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16" min="9" style="1" width="13"/>
    <col collapsed="false" customWidth="true" hidden="false" outlineLevel="0" max="17" min="17" style="1" width="16"/>
    <col collapsed="false" customWidth="true" hidden="false" outlineLevel="0" max="19" min="18" style="1" width="13"/>
    <col collapsed="false" customWidth="true" hidden="false" outlineLevel="0" max="20" min="20" style="1" width="15"/>
    <col collapsed="false" customWidth="true" hidden="false" outlineLevel="0" max="21" min="21" style="1" width="13"/>
    <col collapsed="false" customWidth="true" hidden="false" outlineLevel="0" max="22" min="22" style="1" width="14"/>
  </cols>
  <sheetData>
    <row r="1" customFormat="false" ht="18" hidden="false" customHeight="true" outlineLevel="0" collapsed="false">
      <c r="B1" s="3" t="s">
        <v>0</v>
      </c>
      <c r="C1" s="3"/>
      <c r="D1" s="3"/>
    </row>
    <row r="2" customFormat="false" ht="15.75" hidden="false" customHeight="false" outlineLevel="0" collapsed="false">
      <c r="B2" s="4" t="s">
        <v>82</v>
      </c>
      <c r="C2" s="4"/>
      <c r="D2" s="4"/>
    </row>
    <row r="3" customFormat="false" ht="15.75" hidden="false" customHeight="false" outlineLevel="0" collapsed="false">
      <c r="B3" s="5" t="s">
        <v>2</v>
      </c>
      <c r="C3" s="6" t="s">
        <v>3</v>
      </c>
      <c r="D3" s="6" t="s">
        <v>4</v>
      </c>
    </row>
    <row r="4" customFormat="false" ht="16.5" hidden="false" customHeight="true" outlineLevel="0" collapsed="false">
      <c r="B4" s="7"/>
    </row>
    <row r="5" customFormat="false" ht="18" hidden="false" customHeight="true" outlineLevel="0" collapsed="false">
      <c r="B5" s="8" t="s">
        <v>5</v>
      </c>
      <c r="C5" s="9" t="n">
        <v>1689000</v>
      </c>
      <c r="D5" s="10" t="n">
        <f aca="false">C5/$C$5</f>
        <v>1</v>
      </c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3"/>
    </row>
    <row r="6" customFormat="false" ht="16.5" hidden="false" customHeight="true" outlineLevel="0" collapsed="false">
      <c r="B6" s="14"/>
      <c r="C6" s="15"/>
      <c r="D6" s="16"/>
      <c r="F6" s="17" t="s">
        <v>83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customFormat="false" ht="16.5" hidden="false" customHeight="true" outlineLevel="0" collapsed="false">
      <c r="B7" s="8" t="s">
        <v>7</v>
      </c>
      <c r="C7" s="9" t="n">
        <f aca="false">SUM(C8:C14)</f>
        <v>862010</v>
      </c>
      <c r="D7" s="10" t="n">
        <f aca="false">C7/$C$5</f>
        <v>0.510367081113085</v>
      </c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20"/>
    </row>
    <row r="8" customFormat="false" ht="16.5" hidden="false" customHeight="true" outlineLevel="0" collapsed="false">
      <c r="B8" s="21" t="s">
        <v>84</v>
      </c>
      <c r="C8" s="22" t="n">
        <v>710000</v>
      </c>
      <c r="D8" s="23" t="n">
        <f aca="false">C8/$C$5</f>
        <v>0.420367081113085</v>
      </c>
      <c r="F8" s="24" t="s">
        <v>9</v>
      </c>
      <c r="G8" s="25" t="s">
        <v>10</v>
      </c>
      <c r="H8" s="25" t="s">
        <v>11</v>
      </c>
      <c r="I8" s="26" t="s">
        <v>12</v>
      </c>
      <c r="J8" s="26"/>
      <c r="K8" s="26"/>
      <c r="L8" s="26" t="s">
        <v>13</v>
      </c>
      <c r="M8" s="26"/>
      <c r="N8" s="27" t="s">
        <v>14</v>
      </c>
      <c r="O8" s="26" t="s">
        <v>15</v>
      </c>
      <c r="P8" s="26"/>
      <c r="Q8" s="26" t="s">
        <v>16</v>
      </c>
      <c r="R8" s="26"/>
      <c r="S8" s="25" t="s">
        <v>17</v>
      </c>
      <c r="T8" s="28" t="s">
        <v>18</v>
      </c>
      <c r="U8" s="25" t="s">
        <v>19</v>
      </c>
      <c r="V8" s="29" t="s">
        <v>20</v>
      </c>
    </row>
    <row r="9" customFormat="false" ht="16.5" hidden="false" customHeight="true" outlineLevel="0" collapsed="false">
      <c r="B9" s="21" t="s">
        <v>85</v>
      </c>
      <c r="C9" s="22" t="n">
        <v>59115</v>
      </c>
      <c r="D9" s="23" t="n">
        <f aca="false">C9/$C$5</f>
        <v>0.035</v>
      </c>
      <c r="F9" s="24"/>
      <c r="G9" s="25"/>
      <c r="H9" s="25"/>
      <c r="I9" s="30" t="s">
        <v>22</v>
      </c>
      <c r="J9" s="31" t="s">
        <v>23</v>
      </c>
      <c r="K9" s="32" t="s">
        <v>24</v>
      </c>
      <c r="L9" s="33" t="s">
        <v>4</v>
      </c>
      <c r="M9" s="34" t="s">
        <v>25</v>
      </c>
      <c r="N9" s="27"/>
      <c r="O9" s="35" t="s">
        <v>25</v>
      </c>
      <c r="P9" s="36" t="s">
        <v>4</v>
      </c>
      <c r="Q9" s="37" t="s">
        <v>25</v>
      </c>
      <c r="R9" s="33" t="s">
        <v>4</v>
      </c>
      <c r="S9" s="25"/>
      <c r="T9" s="25"/>
      <c r="U9" s="25"/>
      <c r="V9" s="29"/>
    </row>
    <row r="10" customFormat="false" ht="16.5" hidden="false" customHeight="true" outlineLevel="0" collapsed="false">
      <c r="B10" s="21" t="s">
        <v>26</v>
      </c>
      <c r="C10" s="22" t="n">
        <v>25335</v>
      </c>
      <c r="D10" s="23" t="n">
        <f aca="false">C10/$C$5</f>
        <v>0.015</v>
      </c>
      <c r="F10" s="38" t="s">
        <v>27</v>
      </c>
      <c r="G10" s="39" t="n">
        <v>6000</v>
      </c>
      <c r="H10" s="40" t="n">
        <v>90</v>
      </c>
      <c r="I10" s="41" t="n">
        <v>34</v>
      </c>
      <c r="J10" s="42" t="n">
        <f aca="false">($C$7-$C$8)/$C$5</f>
        <v>0.09</v>
      </c>
      <c r="K10" s="43" t="n">
        <f aca="false">H10*J10</f>
        <v>8.1</v>
      </c>
      <c r="L10" s="44" t="n">
        <f aca="false">$C$15/$C$5</f>
        <v>0.25</v>
      </c>
      <c r="M10" s="45" t="n">
        <f aca="false">H10*L10</f>
        <v>22.5</v>
      </c>
      <c r="N10" s="46" t="n">
        <f aca="false">I10+K10+M10</f>
        <v>64.6</v>
      </c>
      <c r="O10" s="47" t="n">
        <f aca="false">H10-N10</f>
        <v>25.4</v>
      </c>
      <c r="P10" s="48" t="n">
        <f aca="false">O10/H10</f>
        <v>0.282222222222222</v>
      </c>
      <c r="Q10" s="49" t="n">
        <f aca="false">O10*G10</f>
        <v>152400</v>
      </c>
      <c r="R10" s="48" t="n">
        <f aca="false">Q10/$Q$17</f>
        <v>0.376538024410733</v>
      </c>
      <c r="S10" s="50" t="n">
        <f aca="false">$C$28*R10/G10</f>
        <v>27.6127884567871</v>
      </c>
      <c r="T10" s="43" t="n">
        <f aca="false">(I10+S10)/(1-(J10+L10))</f>
        <v>93.3527097830107</v>
      </c>
      <c r="U10" s="51" t="n">
        <v>0.12</v>
      </c>
      <c r="V10" s="52" t="n">
        <f aca="false">(I10+S10)/(1-(J10+L10+U10))</f>
        <v>114.097756401458</v>
      </c>
    </row>
    <row r="11" customFormat="false" ht="15.75" hidden="false" customHeight="false" outlineLevel="0" collapsed="false">
      <c r="B11" s="21" t="s">
        <v>86</v>
      </c>
      <c r="C11" s="22" t="n">
        <v>33780</v>
      </c>
      <c r="D11" s="23" t="n">
        <f aca="false">C11/$C$5</f>
        <v>0.02</v>
      </c>
      <c r="F11" s="38" t="s">
        <v>29</v>
      </c>
      <c r="G11" s="39" t="n">
        <v>2500</v>
      </c>
      <c r="H11" s="40" t="n">
        <v>210</v>
      </c>
      <c r="I11" s="41" t="n">
        <v>92</v>
      </c>
      <c r="J11" s="53" t="n">
        <f aca="false">($C$7-$C$8)/$C$5</f>
        <v>0.09</v>
      </c>
      <c r="K11" s="46" t="n">
        <f aca="false">H11*J11</f>
        <v>18.9</v>
      </c>
      <c r="L11" s="54" t="n">
        <f aca="false">$C$15/$C$5</f>
        <v>0.25</v>
      </c>
      <c r="M11" s="55" t="n">
        <f aca="false">H11*L11</f>
        <v>52.5</v>
      </c>
      <c r="N11" s="56" t="n">
        <f aca="false">I11+K11+M11</f>
        <v>163.4</v>
      </c>
      <c r="O11" s="57" t="n">
        <f aca="false">H11-N11</f>
        <v>46.6</v>
      </c>
      <c r="P11" s="58" t="n">
        <f aca="false">O11/H11</f>
        <v>0.221904761904762</v>
      </c>
      <c r="Q11" s="59" t="n">
        <f aca="false">O11*G11</f>
        <v>116500</v>
      </c>
      <c r="R11" s="60" t="n">
        <f aca="false">Q11/$Q$17</f>
        <v>0.287839106586945</v>
      </c>
      <c r="S11" s="61" t="n">
        <f aca="false">$C$28*R11/G11</f>
        <v>50.6596827593023</v>
      </c>
      <c r="T11" s="50" t="n">
        <f aca="false">(I11+S11)/(1-(J11+L11))</f>
        <v>216.151034483791</v>
      </c>
      <c r="U11" s="51" t="n">
        <v>0.15</v>
      </c>
      <c r="V11" s="62" t="n">
        <f aca="false">(I11+S11)/(1-(J11+L11+U11))</f>
        <v>279.724868155495</v>
      </c>
    </row>
    <row r="12" customFormat="false" ht="15.75" hidden="false" customHeight="false" outlineLevel="0" collapsed="false">
      <c r="B12" s="21" t="s">
        <v>87</v>
      </c>
      <c r="C12" s="22" t="n">
        <v>33780</v>
      </c>
      <c r="D12" s="23" t="n">
        <f aca="false">C12/$C$5</f>
        <v>0.02</v>
      </c>
      <c r="F12" s="38" t="s">
        <v>31</v>
      </c>
      <c r="G12" s="39" t="n">
        <v>1500</v>
      </c>
      <c r="H12" s="40" t="n">
        <v>280</v>
      </c>
      <c r="I12" s="41" t="n">
        <v>128</v>
      </c>
      <c r="J12" s="53" t="n">
        <f aca="false">($C$7-$C$8)/$C$5</f>
        <v>0.09</v>
      </c>
      <c r="K12" s="43" t="n">
        <f aca="false">H12*J12</f>
        <v>25.2</v>
      </c>
      <c r="L12" s="63" t="n">
        <f aca="false">$C$15/$C$5</f>
        <v>0.25</v>
      </c>
      <c r="M12" s="64" t="n">
        <f aca="false">H12*L12</f>
        <v>70</v>
      </c>
      <c r="N12" s="65" t="n">
        <f aca="false">I12+K12+M12</f>
        <v>223.2</v>
      </c>
      <c r="O12" s="57" t="n">
        <f aca="false">H12-N12</f>
        <v>56.8</v>
      </c>
      <c r="P12" s="66" t="n">
        <f aca="false">O12/H12</f>
        <v>0.202857142857143</v>
      </c>
      <c r="Q12" s="67" t="n">
        <f aca="false">O12*G12</f>
        <v>85200</v>
      </c>
      <c r="R12" s="68" t="n">
        <f aca="false">Q12/$Q$17</f>
        <v>0.210505509709937</v>
      </c>
      <c r="S12" s="43" t="n">
        <f aca="false">$C$28*R12/G12</f>
        <v>61.7482828482483</v>
      </c>
      <c r="T12" s="69" t="n">
        <f aca="false">(I12+S12)/(1-(J12+L12))</f>
        <v>287.497398254922</v>
      </c>
      <c r="U12" s="51" t="n">
        <v>0.18</v>
      </c>
      <c r="V12" s="70" t="n">
        <f aca="false">(I12+S12)/(1-(J12+L12+U12))</f>
        <v>395.308922600517</v>
      </c>
    </row>
    <row r="13" customFormat="false" ht="15.75" hidden="false" customHeight="false" outlineLevel="0" collapsed="false">
      <c r="B13" s="71"/>
      <c r="C13" s="72"/>
      <c r="D13" s="73"/>
      <c r="F13" s="38" t="s">
        <v>32</v>
      </c>
      <c r="G13" s="39" t="n">
        <v>1200</v>
      </c>
      <c r="H13" s="40" t="n">
        <v>170</v>
      </c>
      <c r="I13" s="41" t="n">
        <v>70</v>
      </c>
      <c r="J13" s="53" t="n">
        <f aca="false">($C$7-$C$8)/$C$5</f>
        <v>0.09</v>
      </c>
      <c r="K13" s="43" t="n">
        <f aca="false">H13*J13</f>
        <v>15.3</v>
      </c>
      <c r="L13" s="63" t="n">
        <f aca="false">$C$15/$C$5</f>
        <v>0.25</v>
      </c>
      <c r="M13" s="45" t="n">
        <f aca="false">H13*L13</f>
        <v>42.5</v>
      </c>
      <c r="N13" s="46" t="n">
        <f aca="false">I13+K13+M13</f>
        <v>127.8</v>
      </c>
      <c r="O13" s="57" t="n">
        <f aca="false">H13-N13</f>
        <v>42.2</v>
      </c>
      <c r="P13" s="68" t="n">
        <f aca="false">O13/H13</f>
        <v>0.248235294117647</v>
      </c>
      <c r="Q13" s="74" t="n">
        <f aca="false">O13*G13</f>
        <v>50640</v>
      </c>
      <c r="R13" s="68" t="n">
        <f aca="false">Q13/$Q$17</f>
        <v>0.125117359292385</v>
      </c>
      <c r="S13" s="43" t="n">
        <f aca="false">$C$28*R13/G13</f>
        <v>45.8763650738746</v>
      </c>
      <c r="T13" s="43" t="n">
        <f aca="false">(I13+S13)/(1-(J13+L13))</f>
        <v>175.570250111931</v>
      </c>
      <c r="U13" s="51" t="n">
        <v>0.1</v>
      </c>
      <c r="V13" s="75" t="n">
        <f aca="false">(I13+S13)/(1-(J13+L13+U13))</f>
        <v>206.922080489062</v>
      </c>
    </row>
    <row r="14" customFormat="false" ht="16.5" hidden="false" customHeight="true" outlineLevel="0" collapsed="false">
      <c r="B14" s="71"/>
      <c r="C14" s="72"/>
      <c r="D14" s="73"/>
      <c r="F14" s="38"/>
      <c r="G14" s="76"/>
      <c r="H14" s="77"/>
      <c r="I14" s="78"/>
      <c r="J14" s="79"/>
      <c r="K14" s="80"/>
      <c r="L14" s="81"/>
      <c r="M14" s="82"/>
      <c r="N14" s="78"/>
      <c r="O14" s="83"/>
      <c r="P14" s="68"/>
      <c r="Q14" s="84"/>
      <c r="R14" s="68"/>
      <c r="S14" s="80"/>
      <c r="T14" s="80"/>
      <c r="U14" s="80"/>
      <c r="V14" s="85"/>
    </row>
    <row r="15" customFormat="false" ht="16.5" hidden="false" customHeight="true" outlineLevel="0" collapsed="false">
      <c r="B15" s="8" t="s">
        <v>33</v>
      </c>
      <c r="C15" s="9" t="n">
        <f aca="false">SUM(C16:C22)</f>
        <v>422250</v>
      </c>
      <c r="D15" s="10" t="n">
        <f aca="false">C15/$C$5</f>
        <v>0.25</v>
      </c>
      <c r="F15" s="86"/>
      <c r="G15" s="87"/>
      <c r="H15" s="88"/>
      <c r="I15" s="89"/>
      <c r="J15" s="90"/>
      <c r="K15" s="88" t="s">
        <v>34</v>
      </c>
      <c r="L15" s="81"/>
      <c r="M15" s="91"/>
      <c r="N15" s="89"/>
      <c r="O15" s="92"/>
      <c r="P15" s="88"/>
      <c r="Q15" s="93"/>
      <c r="R15" s="88"/>
      <c r="S15" s="77"/>
      <c r="T15" s="77"/>
      <c r="U15" s="77"/>
      <c r="V15" s="94"/>
    </row>
    <row r="16" customFormat="false" ht="16.5" hidden="false" customHeight="true" outlineLevel="0" collapsed="false">
      <c r="B16" s="21" t="s">
        <v>35</v>
      </c>
      <c r="C16" s="22" t="n">
        <v>202680</v>
      </c>
      <c r="D16" s="23" t="n">
        <f aca="false">C16/$C$5</f>
        <v>0.12</v>
      </c>
      <c r="F16" s="95"/>
      <c r="G16" s="96"/>
      <c r="H16" s="96"/>
      <c r="I16" s="97"/>
      <c r="J16" s="98" t="s">
        <v>34</v>
      </c>
      <c r="K16" s="96"/>
      <c r="L16" s="99"/>
      <c r="M16" s="100"/>
      <c r="N16" s="97"/>
      <c r="O16" s="101"/>
      <c r="P16" s="96"/>
      <c r="Q16" s="102"/>
      <c r="R16" s="96"/>
      <c r="S16" s="96"/>
      <c r="T16" s="96"/>
      <c r="U16" s="96"/>
      <c r="V16" s="103"/>
    </row>
    <row r="17" customFormat="false" ht="18" hidden="false" customHeight="true" outlineLevel="0" collapsed="false">
      <c r="B17" s="21" t="s">
        <v>36</v>
      </c>
      <c r="C17" s="22" t="n">
        <v>61648.5</v>
      </c>
      <c r="D17" s="23" t="n">
        <f aca="false">C17/$C$5</f>
        <v>0.0365</v>
      </c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5" t="s">
        <v>37</v>
      </c>
      <c r="Q17" s="106" t="n">
        <f aca="false">SUM(Q10:Q16)</f>
        <v>404740</v>
      </c>
      <c r="R17" s="107" t="n">
        <f aca="false">SUM(R10:R16)</f>
        <v>1</v>
      </c>
      <c r="S17" s="104"/>
      <c r="T17" s="104"/>
      <c r="U17" s="104"/>
      <c r="V17" s="104"/>
    </row>
    <row r="18" customFormat="false" ht="16.5" hidden="false" customHeight="true" outlineLevel="0" collapsed="false">
      <c r="B18" s="21" t="s">
        <v>38</v>
      </c>
      <c r="C18" s="22" t="n">
        <v>50670</v>
      </c>
      <c r="D18" s="23" t="n">
        <f aca="false">C18/$C$5</f>
        <v>0.03</v>
      </c>
    </row>
    <row r="19" customFormat="false" ht="15.75" hidden="false" customHeight="false" outlineLevel="0" collapsed="false">
      <c r="B19" s="21" t="s">
        <v>88</v>
      </c>
      <c r="C19" s="22" t="n">
        <v>39691.5</v>
      </c>
      <c r="D19" s="23" t="n">
        <f aca="false">C19/$C$5</f>
        <v>0.0235</v>
      </c>
      <c r="F19" s="108" t="s">
        <v>40</v>
      </c>
    </row>
    <row r="20" customFormat="false" ht="15.75" hidden="false" customHeight="false" outlineLevel="0" collapsed="false">
      <c r="B20" s="71" t="s">
        <v>39</v>
      </c>
      <c r="C20" s="117" t="n">
        <v>67560</v>
      </c>
      <c r="D20" s="119" t="n">
        <f aca="false">C20/$C$5</f>
        <v>0.04</v>
      </c>
      <c r="F20" s="110" t="s">
        <v>89</v>
      </c>
    </row>
    <row r="21" customFormat="false" ht="15.75" hidden="false" customHeight="false" outlineLevel="0" collapsed="false">
      <c r="B21" s="71"/>
      <c r="C21" s="72"/>
      <c r="D21" s="109"/>
      <c r="F21" s="110" t="s">
        <v>90</v>
      </c>
    </row>
    <row r="22" customFormat="false" ht="15.75" hidden="false" customHeight="false" outlineLevel="0" collapsed="false">
      <c r="B22" s="71"/>
      <c r="C22" s="72"/>
      <c r="D22" s="109"/>
      <c r="F22" s="110" t="s">
        <v>91</v>
      </c>
    </row>
    <row r="23" customFormat="false" ht="16.5" hidden="false" customHeight="true" outlineLevel="0" collapsed="false">
      <c r="B23" s="71"/>
      <c r="C23" s="15"/>
      <c r="D23" s="73"/>
      <c r="F23" s="110" t="s">
        <v>92</v>
      </c>
    </row>
    <row r="24" customFormat="false" ht="16.5" hidden="false" customHeight="true" outlineLevel="0" collapsed="false">
      <c r="B24" s="8" t="s">
        <v>45</v>
      </c>
      <c r="C24" s="9" t="n">
        <f aca="false">C7+C15</f>
        <v>1284260</v>
      </c>
      <c r="D24" s="10" t="n">
        <f aca="false">C24/$C$5</f>
        <v>0.760367081113085</v>
      </c>
    </row>
    <row r="25" customFormat="false" ht="16.5" hidden="false" customHeight="true" outlineLevel="0" collapsed="false">
      <c r="B25" s="111"/>
      <c r="C25" s="15"/>
      <c r="D25" s="112"/>
      <c r="F25" s="113" t="s">
        <v>46</v>
      </c>
      <c r="Q25" s="114" t="n">
        <f aca="false">Q17-C26</f>
        <v>0</v>
      </c>
    </row>
    <row r="26" customFormat="false" ht="16.5" hidden="false" customHeight="true" outlineLevel="0" collapsed="false">
      <c r="B26" s="8" t="s">
        <v>47</v>
      </c>
      <c r="C26" s="9" t="n">
        <f aca="false">C5-C24</f>
        <v>404740</v>
      </c>
      <c r="D26" s="10" t="n">
        <f aca="false">C26/$C$5</f>
        <v>0.239632918886915</v>
      </c>
      <c r="F26" s="113" t="s">
        <v>48</v>
      </c>
      <c r="Q26" s="114" t="n">
        <f aca="false">SUMPRODUCT(G10:G16,H10:H16)-C5</f>
        <v>0</v>
      </c>
    </row>
    <row r="27" customFormat="false" ht="16.5" hidden="false" customHeight="true" outlineLevel="0" collapsed="false">
      <c r="B27" s="14"/>
      <c r="C27" s="115"/>
      <c r="D27" s="16"/>
    </row>
    <row r="28" customFormat="false" ht="16.5" hidden="false" customHeight="true" outlineLevel="0" collapsed="false">
      <c r="B28" s="8" t="s">
        <v>49</v>
      </c>
      <c r="C28" s="9" t="n">
        <f aca="false">SUM(C29:C42)</f>
        <v>440000</v>
      </c>
      <c r="D28" s="10" t="n">
        <f aca="false">C28/$C$5</f>
        <v>0.260509177027827</v>
      </c>
      <c r="F28" s="116" t="s">
        <v>50</v>
      </c>
    </row>
    <row r="29" customFormat="false" ht="15.75" hidden="false" customHeight="false" outlineLevel="0" collapsed="false">
      <c r="B29" s="71" t="s">
        <v>51</v>
      </c>
      <c r="C29" s="117" t="n">
        <v>168000</v>
      </c>
      <c r="D29" s="23" t="n">
        <f aca="false">C29/$C$5</f>
        <v>0.0994671403197158</v>
      </c>
    </row>
    <row r="30" customFormat="false" ht="15.75" hidden="false" customHeight="false" outlineLevel="0" collapsed="false">
      <c r="B30" s="71" t="s">
        <v>52</v>
      </c>
      <c r="C30" s="117" t="n">
        <v>52000</v>
      </c>
      <c r="D30" s="23" t="n">
        <f aca="false">C30/$C$5</f>
        <v>0.0307874481941978</v>
      </c>
    </row>
    <row r="31" customFormat="false" ht="15.75" hidden="false" customHeight="false" outlineLevel="0" collapsed="false">
      <c r="B31" s="71" t="s">
        <v>53</v>
      </c>
      <c r="C31" s="117" t="n">
        <v>46000</v>
      </c>
      <c r="D31" s="23" t="n">
        <f aca="false">C31/$C$5</f>
        <v>0.0272350503256365</v>
      </c>
    </row>
    <row r="32" customFormat="false" ht="15.75" hidden="false" customHeight="false" outlineLevel="0" collapsed="false">
      <c r="B32" s="71" t="s">
        <v>54</v>
      </c>
      <c r="C32" s="117" t="n">
        <v>4100</v>
      </c>
      <c r="D32" s="23" t="n">
        <f aca="false">C32/$C$5</f>
        <v>0.00242747187685021</v>
      </c>
    </row>
    <row r="33" customFormat="false" ht="15.75" hidden="false" customHeight="false" outlineLevel="0" collapsed="false">
      <c r="B33" s="71" t="s">
        <v>55</v>
      </c>
      <c r="C33" s="117" t="n">
        <v>6200</v>
      </c>
      <c r="D33" s="23" t="n">
        <f aca="false">C33/$C$5</f>
        <v>0.00367081113084665</v>
      </c>
    </row>
    <row r="34" customFormat="false" ht="15.75" hidden="false" customHeight="false" outlineLevel="0" collapsed="false">
      <c r="B34" s="71" t="s">
        <v>57</v>
      </c>
      <c r="C34" s="117" t="n">
        <v>9800</v>
      </c>
      <c r="D34" s="23" t="n">
        <f aca="false">C34/$C$5</f>
        <v>0.00580224985198342</v>
      </c>
    </row>
    <row r="35" customFormat="false" ht="15.75" hidden="false" customHeight="false" outlineLevel="0" collapsed="false">
      <c r="B35" s="71" t="s">
        <v>58</v>
      </c>
      <c r="C35" s="117" t="n">
        <v>1300</v>
      </c>
      <c r="D35" s="23" t="n">
        <f aca="false">C35/$C$5</f>
        <v>0.000769686204854944</v>
      </c>
    </row>
    <row r="36" customFormat="false" ht="15.75" hidden="false" customHeight="false" outlineLevel="0" collapsed="false">
      <c r="B36" s="71" t="s">
        <v>59</v>
      </c>
      <c r="C36" s="117" t="n">
        <v>3200</v>
      </c>
      <c r="D36" s="23" t="n">
        <f aca="false">C36/$C$5</f>
        <v>0.00189461219656602</v>
      </c>
    </row>
    <row r="37" customFormat="false" ht="15.75" hidden="false" customHeight="false" outlineLevel="0" collapsed="false">
      <c r="B37" s="71" t="s">
        <v>60</v>
      </c>
      <c r="C37" s="117" t="n">
        <v>28000</v>
      </c>
      <c r="D37" s="23" t="n">
        <f aca="false">C37/$C$5</f>
        <v>0.0165778567199526</v>
      </c>
    </row>
    <row r="38" customFormat="false" ht="15.75" hidden="false" customHeight="false" outlineLevel="0" collapsed="false">
      <c r="B38" s="71" t="s">
        <v>93</v>
      </c>
      <c r="C38" s="117" t="n">
        <v>14000</v>
      </c>
      <c r="D38" s="23" t="n">
        <f aca="false">C38/$C$5</f>
        <v>0.00828892835997632</v>
      </c>
    </row>
    <row r="39" customFormat="false" ht="15.75" hidden="false" customHeight="false" outlineLevel="0" collapsed="false">
      <c r="B39" s="71" t="s">
        <v>61</v>
      </c>
      <c r="C39" s="117" t="n">
        <v>58000</v>
      </c>
      <c r="D39" s="23" t="n">
        <f aca="false">C39/$C$5</f>
        <v>0.034339846062759</v>
      </c>
    </row>
    <row r="40" customFormat="false" ht="15.75" hidden="false" customHeight="false" outlineLevel="0" collapsed="false">
      <c r="B40" s="71" t="s">
        <v>62</v>
      </c>
      <c r="C40" s="117" t="n">
        <v>36000</v>
      </c>
      <c r="D40" s="23" t="n">
        <f aca="false">C40/$C$5</f>
        <v>0.0213143872113677</v>
      </c>
    </row>
    <row r="41" customFormat="false" ht="16.5" hidden="false" customHeight="true" outlineLevel="0" collapsed="false">
      <c r="B41" s="71" t="s">
        <v>63</v>
      </c>
      <c r="C41" s="117" t="n">
        <v>4500</v>
      </c>
      <c r="D41" s="23" t="n">
        <f aca="false">C41/$C$5</f>
        <v>0.00266429840142096</v>
      </c>
    </row>
    <row r="42" customFormat="false" ht="16.5" hidden="false" customHeight="true" outlineLevel="0" collapsed="false">
      <c r="B42" s="71" t="s">
        <v>64</v>
      </c>
      <c r="C42" s="117" t="n">
        <v>8900</v>
      </c>
      <c r="D42" s="23" t="n">
        <f aca="false">C42/$C$5</f>
        <v>0.00526939017169923</v>
      </c>
    </row>
    <row r="43" customFormat="false" ht="15.75" hidden="false" customHeight="false" outlineLevel="0" collapsed="false">
      <c r="B43" s="118" t="s">
        <v>65</v>
      </c>
      <c r="C43" s="9" t="n">
        <f aca="false">C26-C28</f>
        <v>-35260</v>
      </c>
      <c r="D43" s="10" t="n">
        <f aca="false">C43/$C$5</f>
        <v>-0.0208762581409118</v>
      </c>
    </row>
  </sheetData>
  <mergeCells count="15">
    <mergeCell ref="B1:D1"/>
    <mergeCell ref="B2:D2"/>
    <mergeCell ref="F6:V6"/>
    <mergeCell ref="F8:F9"/>
    <mergeCell ref="G8:G9"/>
    <mergeCell ref="H8:H9"/>
    <mergeCell ref="I8:K8"/>
    <mergeCell ref="L8:M8"/>
    <mergeCell ref="N8:N9"/>
    <mergeCell ref="O8:P8"/>
    <mergeCell ref="Q8:R8"/>
    <mergeCell ref="S8:S9"/>
    <mergeCell ref="T8:T9"/>
    <mergeCell ref="U8:U9"/>
    <mergeCell ref="V8:V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.5"/>
    <col collapsed="false" customWidth="true" hidden="false" outlineLevel="0" max="3" min="3" style="1" width="25.5"/>
    <col collapsed="false" customWidth="true" hidden="false" outlineLevel="0" max="4" min="4" style="2" width="12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16" min="9" style="1" width="13"/>
    <col collapsed="false" customWidth="true" hidden="false" outlineLevel="0" max="17" min="17" style="1" width="16"/>
    <col collapsed="false" customWidth="true" hidden="false" outlineLevel="0" max="19" min="18" style="1" width="13"/>
    <col collapsed="false" customWidth="true" hidden="false" outlineLevel="0" max="20" min="20" style="1" width="15"/>
    <col collapsed="false" customWidth="true" hidden="false" outlineLevel="0" max="21" min="21" style="1" width="13"/>
    <col collapsed="false" customWidth="true" hidden="false" outlineLevel="0" max="22" min="22" style="1" width="14"/>
  </cols>
  <sheetData>
    <row r="1" customFormat="false" ht="18" hidden="false" customHeight="true" outlineLevel="0" collapsed="false">
      <c r="B1" s="3" t="s">
        <v>0</v>
      </c>
      <c r="C1" s="3"/>
      <c r="D1" s="3"/>
    </row>
    <row r="2" customFormat="false" ht="15.75" hidden="false" customHeight="false" outlineLevel="0" collapsed="false">
      <c r="B2" s="4" t="s">
        <v>94</v>
      </c>
      <c r="C2" s="4"/>
      <c r="D2" s="4"/>
    </row>
    <row r="3" customFormat="false" ht="15.75" hidden="false" customHeight="false" outlineLevel="0" collapsed="false">
      <c r="B3" s="5" t="s">
        <v>2</v>
      </c>
      <c r="C3" s="6" t="s">
        <v>3</v>
      </c>
      <c r="D3" s="6" t="s">
        <v>4</v>
      </c>
    </row>
    <row r="4" customFormat="false" ht="16.5" hidden="false" customHeight="true" outlineLevel="0" collapsed="false">
      <c r="B4" s="7"/>
    </row>
    <row r="5" customFormat="false" ht="18" hidden="false" customHeight="true" outlineLevel="0" collapsed="false">
      <c r="B5" s="8" t="s">
        <v>5</v>
      </c>
      <c r="C5" s="9" t="n">
        <v>1510000</v>
      </c>
      <c r="D5" s="10" t="n">
        <f aca="false">C5/$C$5</f>
        <v>1</v>
      </c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3"/>
    </row>
    <row r="6" customFormat="false" ht="16.5" hidden="false" customHeight="true" outlineLevel="0" collapsed="false">
      <c r="B6" s="14"/>
      <c r="C6" s="15"/>
      <c r="D6" s="16"/>
      <c r="F6" s="17" t="s">
        <v>95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customFormat="false" ht="16.5" hidden="false" customHeight="true" outlineLevel="0" collapsed="false">
      <c r="B7" s="8" t="s">
        <v>7</v>
      </c>
      <c r="C7" s="9" t="n">
        <f aca="false">SUM(C8:C14)</f>
        <v>501100</v>
      </c>
      <c r="D7" s="10" t="n">
        <f aca="false">C7/$C$5</f>
        <v>0.331854304635762</v>
      </c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20"/>
    </row>
    <row r="8" customFormat="false" ht="16.5" hidden="false" customHeight="true" outlineLevel="0" collapsed="false">
      <c r="B8" s="21" t="s">
        <v>96</v>
      </c>
      <c r="C8" s="22" t="n">
        <v>410500</v>
      </c>
      <c r="D8" s="23" t="n">
        <f aca="false">C8/$C$5</f>
        <v>0.271854304635762</v>
      </c>
      <c r="F8" s="24" t="s">
        <v>9</v>
      </c>
      <c r="G8" s="25" t="s">
        <v>10</v>
      </c>
      <c r="H8" s="25" t="s">
        <v>11</v>
      </c>
      <c r="I8" s="26" t="s">
        <v>12</v>
      </c>
      <c r="J8" s="26"/>
      <c r="K8" s="26"/>
      <c r="L8" s="26" t="s">
        <v>13</v>
      </c>
      <c r="M8" s="26"/>
      <c r="N8" s="27" t="s">
        <v>14</v>
      </c>
      <c r="O8" s="26" t="s">
        <v>15</v>
      </c>
      <c r="P8" s="26"/>
      <c r="Q8" s="26" t="s">
        <v>16</v>
      </c>
      <c r="R8" s="26"/>
      <c r="S8" s="25" t="s">
        <v>17</v>
      </c>
      <c r="T8" s="28" t="s">
        <v>18</v>
      </c>
      <c r="U8" s="25" t="s">
        <v>19</v>
      </c>
      <c r="V8" s="29" t="s">
        <v>20</v>
      </c>
    </row>
    <row r="9" customFormat="false" ht="16.5" hidden="false" customHeight="true" outlineLevel="0" collapsed="false">
      <c r="B9" s="21" t="s">
        <v>97</v>
      </c>
      <c r="C9" s="22" t="n">
        <v>30200</v>
      </c>
      <c r="D9" s="23" t="n">
        <f aca="false">C9/$C$5</f>
        <v>0.02</v>
      </c>
      <c r="F9" s="24"/>
      <c r="G9" s="25"/>
      <c r="H9" s="25"/>
      <c r="I9" s="30" t="s">
        <v>22</v>
      </c>
      <c r="J9" s="31" t="s">
        <v>23</v>
      </c>
      <c r="K9" s="32" t="s">
        <v>24</v>
      </c>
      <c r="L9" s="33" t="s">
        <v>4</v>
      </c>
      <c r="M9" s="34" t="s">
        <v>25</v>
      </c>
      <c r="N9" s="27"/>
      <c r="O9" s="35" t="s">
        <v>25</v>
      </c>
      <c r="P9" s="36" t="s">
        <v>4</v>
      </c>
      <c r="Q9" s="37" t="s">
        <v>25</v>
      </c>
      <c r="R9" s="33" t="s">
        <v>4</v>
      </c>
      <c r="S9" s="25"/>
      <c r="T9" s="25"/>
      <c r="U9" s="25"/>
      <c r="V9" s="29"/>
    </row>
    <row r="10" customFormat="false" ht="16.5" hidden="false" customHeight="true" outlineLevel="0" collapsed="false">
      <c r="B10" s="21" t="s">
        <v>26</v>
      </c>
      <c r="C10" s="22" t="n">
        <v>15100</v>
      </c>
      <c r="D10" s="23" t="n">
        <f aca="false">C10/$C$5</f>
        <v>0.01</v>
      </c>
      <c r="F10" s="38" t="s">
        <v>27</v>
      </c>
      <c r="G10" s="39" t="n">
        <v>20000</v>
      </c>
      <c r="H10" s="40" t="n">
        <v>20</v>
      </c>
      <c r="I10" s="41" t="n">
        <v>6.4</v>
      </c>
      <c r="J10" s="42" t="n">
        <f aca="false">($C$7-$C$8)/$C$5</f>
        <v>0.06</v>
      </c>
      <c r="K10" s="43" t="n">
        <f aca="false">H10*J10</f>
        <v>1.2</v>
      </c>
      <c r="L10" s="44" t="n">
        <f aca="false">$C$15/$C$5</f>
        <v>0.38</v>
      </c>
      <c r="M10" s="45" t="n">
        <f aca="false">H10*L10</f>
        <v>7.6</v>
      </c>
      <c r="N10" s="46" t="n">
        <f aca="false">I10+K10+M10</f>
        <v>15.2</v>
      </c>
      <c r="O10" s="47" t="n">
        <f aca="false">H10-N10</f>
        <v>4.8</v>
      </c>
      <c r="P10" s="48" t="n">
        <f aca="false">O10/H10</f>
        <v>0.24</v>
      </c>
      <c r="Q10" s="49" t="n">
        <f aca="false">O10*G10</f>
        <v>96000</v>
      </c>
      <c r="R10" s="48" t="n">
        <f aca="false">Q10/$Q$17</f>
        <v>0.220638933578488</v>
      </c>
      <c r="S10" s="50" t="n">
        <f aca="false">$C$28*R10/G10</f>
        <v>3.96046885773386</v>
      </c>
      <c r="T10" s="43" t="n">
        <f aca="false">(I10+S10)/(1-(J10+L10))</f>
        <v>18.5008372459533</v>
      </c>
      <c r="U10" s="51" t="n">
        <v>0.15</v>
      </c>
      <c r="V10" s="52" t="n">
        <f aca="false">(I10+S10)/(1-(J10+L10+U10))</f>
        <v>25.2694362383753</v>
      </c>
    </row>
    <row r="11" customFormat="false" ht="15.75" hidden="false" customHeight="false" outlineLevel="0" collapsed="false">
      <c r="B11" s="21" t="s">
        <v>98</v>
      </c>
      <c r="C11" s="22" t="n">
        <v>22650</v>
      </c>
      <c r="D11" s="23" t="n">
        <f aca="false">C11/$C$5</f>
        <v>0.015</v>
      </c>
      <c r="F11" s="38" t="s">
        <v>29</v>
      </c>
      <c r="G11" s="39" t="n">
        <v>14000</v>
      </c>
      <c r="H11" s="40" t="n">
        <v>30</v>
      </c>
      <c r="I11" s="41" t="n">
        <v>8.9</v>
      </c>
      <c r="J11" s="53" t="n">
        <f aca="false">($C$7-$C$8)/$C$5</f>
        <v>0.06</v>
      </c>
      <c r="K11" s="46" t="n">
        <f aca="false">H11*J11</f>
        <v>1.8</v>
      </c>
      <c r="L11" s="54" t="n">
        <f aca="false">$C$15/$C$5</f>
        <v>0.38</v>
      </c>
      <c r="M11" s="55" t="n">
        <f aca="false">H11*L11</f>
        <v>11.4</v>
      </c>
      <c r="N11" s="56" t="n">
        <f aca="false">I11+K11+M11</f>
        <v>22.1</v>
      </c>
      <c r="O11" s="57" t="n">
        <f aca="false">H11-N11</f>
        <v>7.9</v>
      </c>
      <c r="P11" s="58" t="n">
        <f aca="false">O11/H11</f>
        <v>0.263333333333333</v>
      </c>
      <c r="Q11" s="59" t="n">
        <f aca="false">O11*G11</f>
        <v>110600</v>
      </c>
      <c r="R11" s="60" t="n">
        <f aca="false">Q11/$Q$17</f>
        <v>0.254194438060216</v>
      </c>
      <c r="S11" s="61" t="n">
        <f aca="false">$C$28*R11/G11</f>
        <v>6.51827166168697</v>
      </c>
      <c r="T11" s="50" t="n">
        <f aca="false">(I11+S11)/(1-(J11+L11))</f>
        <v>27.5326279672982</v>
      </c>
      <c r="U11" s="51" t="n">
        <v>0.18</v>
      </c>
      <c r="V11" s="62" t="n">
        <f aca="false">(I11+S11)/(1-(J11+L11+U11))</f>
        <v>40.5743991097026</v>
      </c>
    </row>
    <row r="12" customFormat="false" ht="15.75" hidden="false" customHeight="false" outlineLevel="0" collapsed="false">
      <c r="B12" s="21" t="s">
        <v>99</v>
      </c>
      <c r="C12" s="22" t="n">
        <v>22650</v>
      </c>
      <c r="D12" s="23" t="n">
        <f aca="false">C12/$C$5</f>
        <v>0.015</v>
      </c>
      <c r="F12" s="38" t="s">
        <v>31</v>
      </c>
      <c r="G12" s="39" t="n">
        <v>5000</v>
      </c>
      <c r="H12" s="40" t="n">
        <v>90</v>
      </c>
      <c r="I12" s="41" t="n">
        <v>21.5</v>
      </c>
      <c r="J12" s="53" t="n">
        <f aca="false">($C$7-$C$8)/$C$5</f>
        <v>0.06</v>
      </c>
      <c r="K12" s="43" t="n">
        <f aca="false">H12*J12</f>
        <v>5.4</v>
      </c>
      <c r="L12" s="63" t="n">
        <f aca="false">$C$15/$C$5</f>
        <v>0.38</v>
      </c>
      <c r="M12" s="64" t="n">
        <f aca="false">H12*L12</f>
        <v>34.2</v>
      </c>
      <c r="N12" s="65" t="n">
        <f aca="false">I12+K12+M12</f>
        <v>61.1</v>
      </c>
      <c r="O12" s="57" t="n">
        <f aca="false">H12-N12</f>
        <v>28.9</v>
      </c>
      <c r="P12" s="66" t="n">
        <f aca="false">O12/H12</f>
        <v>0.321111111111111</v>
      </c>
      <c r="Q12" s="67" t="n">
        <f aca="false">O12*G12</f>
        <v>144500</v>
      </c>
      <c r="R12" s="68" t="n">
        <f aca="false">Q12/$Q$17</f>
        <v>0.33210756148012</v>
      </c>
      <c r="S12" s="43" t="n">
        <f aca="false">$C$28*R12/G12</f>
        <v>23.8453229142726</v>
      </c>
      <c r="T12" s="69" t="n">
        <f aca="false">(I12+S12)/(1-(J12+L12))</f>
        <v>80.9737909183439</v>
      </c>
      <c r="U12" s="51" t="n">
        <v>0.2</v>
      </c>
      <c r="V12" s="70" t="n">
        <f aca="false">(I12+S12)/(1-(J12+L12+U12))</f>
        <v>125.959230317424</v>
      </c>
    </row>
    <row r="13" customFormat="false" ht="15.75" hidden="false" customHeight="false" outlineLevel="0" collapsed="false">
      <c r="B13" s="71"/>
      <c r="C13" s="72"/>
      <c r="D13" s="73"/>
      <c r="F13" s="38" t="s">
        <v>32</v>
      </c>
      <c r="G13" s="39" t="n">
        <v>12000</v>
      </c>
      <c r="H13" s="40" t="n">
        <v>20</v>
      </c>
      <c r="I13" s="41" t="n">
        <v>4.2</v>
      </c>
      <c r="J13" s="53" t="n">
        <f aca="false">($C$7-$C$8)/$C$5</f>
        <v>0.06</v>
      </c>
      <c r="K13" s="43" t="n">
        <f aca="false">H13*J13</f>
        <v>1.2</v>
      </c>
      <c r="L13" s="63" t="n">
        <f aca="false">$C$15/$C$5</f>
        <v>0.38</v>
      </c>
      <c r="M13" s="45" t="n">
        <f aca="false">H13*L13</f>
        <v>7.6</v>
      </c>
      <c r="N13" s="46" t="n">
        <f aca="false">I13+K13+M13</f>
        <v>13</v>
      </c>
      <c r="O13" s="57" t="n">
        <f aca="false">H13-N13</f>
        <v>7</v>
      </c>
      <c r="P13" s="68" t="n">
        <f aca="false">O13/H13</f>
        <v>0.35</v>
      </c>
      <c r="Q13" s="74" t="n">
        <f aca="false">O13*G13</f>
        <v>84000</v>
      </c>
      <c r="R13" s="68" t="n">
        <f aca="false">Q13/$Q$17</f>
        <v>0.193059066881177</v>
      </c>
      <c r="S13" s="43" t="n">
        <f aca="false">$C$28*R13/G13</f>
        <v>5.77568375086187</v>
      </c>
      <c r="T13" s="43" t="n">
        <f aca="false">(I13+S13)/(1-(J13+L13))</f>
        <v>17.8137209836819</v>
      </c>
      <c r="U13" s="51" t="n">
        <v>0.2</v>
      </c>
      <c r="V13" s="75" t="n">
        <f aca="false">(I13+S13)/(1-(J13+L13+U13))</f>
        <v>27.710232641283</v>
      </c>
    </row>
    <row r="14" customFormat="false" ht="16.5" hidden="false" customHeight="true" outlineLevel="0" collapsed="false">
      <c r="B14" s="71"/>
      <c r="C14" s="72"/>
      <c r="D14" s="73"/>
      <c r="F14" s="38"/>
      <c r="G14" s="76"/>
      <c r="H14" s="77"/>
      <c r="I14" s="78"/>
      <c r="J14" s="79"/>
      <c r="K14" s="80"/>
      <c r="L14" s="81"/>
      <c r="M14" s="82"/>
      <c r="N14" s="78"/>
      <c r="O14" s="83"/>
      <c r="P14" s="68"/>
      <c r="Q14" s="84"/>
      <c r="R14" s="68"/>
      <c r="S14" s="80"/>
      <c r="T14" s="80"/>
      <c r="U14" s="80"/>
      <c r="V14" s="85"/>
    </row>
    <row r="15" customFormat="false" ht="16.5" hidden="false" customHeight="true" outlineLevel="0" collapsed="false">
      <c r="B15" s="8" t="s">
        <v>33</v>
      </c>
      <c r="C15" s="9" t="n">
        <f aca="false">SUM(C16:C22)</f>
        <v>573800</v>
      </c>
      <c r="D15" s="10" t="n">
        <f aca="false">C15/$C$5</f>
        <v>0.38</v>
      </c>
      <c r="F15" s="86"/>
      <c r="G15" s="87"/>
      <c r="H15" s="88"/>
      <c r="I15" s="89"/>
      <c r="J15" s="90"/>
      <c r="K15" s="88" t="s">
        <v>34</v>
      </c>
      <c r="L15" s="81"/>
      <c r="M15" s="91"/>
      <c r="N15" s="89"/>
      <c r="O15" s="92"/>
      <c r="P15" s="88"/>
      <c r="Q15" s="93"/>
      <c r="R15" s="88"/>
      <c r="S15" s="77"/>
      <c r="T15" s="77"/>
      <c r="U15" s="77"/>
      <c r="V15" s="94"/>
    </row>
    <row r="16" customFormat="false" ht="16.5" hidden="false" customHeight="true" outlineLevel="0" collapsed="false">
      <c r="B16" s="21" t="s">
        <v>35</v>
      </c>
      <c r="C16" s="22" t="n">
        <v>271800</v>
      </c>
      <c r="D16" s="23" t="n">
        <f aca="false">C16/$C$5</f>
        <v>0.18</v>
      </c>
      <c r="F16" s="95"/>
      <c r="G16" s="96"/>
      <c r="H16" s="96"/>
      <c r="I16" s="97"/>
      <c r="J16" s="98" t="s">
        <v>34</v>
      </c>
      <c r="K16" s="96"/>
      <c r="L16" s="99"/>
      <c r="M16" s="100"/>
      <c r="N16" s="97"/>
      <c r="O16" s="101"/>
      <c r="P16" s="96"/>
      <c r="Q16" s="102"/>
      <c r="R16" s="96"/>
      <c r="S16" s="96"/>
      <c r="T16" s="96"/>
      <c r="U16" s="96"/>
      <c r="V16" s="103"/>
    </row>
    <row r="17" customFormat="false" ht="18" hidden="false" customHeight="true" outlineLevel="0" collapsed="false">
      <c r="B17" s="21" t="s">
        <v>36</v>
      </c>
      <c r="C17" s="22" t="n">
        <v>55115</v>
      </c>
      <c r="D17" s="23" t="n">
        <f aca="false">C17/$C$5</f>
        <v>0.0365</v>
      </c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5" t="s">
        <v>37</v>
      </c>
      <c r="Q17" s="106" t="n">
        <f aca="false">SUM(Q10:Q16)</f>
        <v>435100</v>
      </c>
      <c r="R17" s="107" t="n">
        <f aca="false">SUM(R10:R16)</f>
        <v>1</v>
      </c>
      <c r="S17" s="104"/>
      <c r="T17" s="104"/>
      <c r="U17" s="104"/>
      <c r="V17" s="104"/>
    </row>
    <row r="18" customFormat="false" ht="16.5" hidden="false" customHeight="true" outlineLevel="0" collapsed="false">
      <c r="B18" s="21" t="s">
        <v>100</v>
      </c>
      <c r="C18" s="22" t="n">
        <v>45300</v>
      </c>
      <c r="D18" s="23" t="n">
        <f aca="false">C18/$C$5</f>
        <v>0.03</v>
      </c>
    </row>
    <row r="19" customFormat="false" ht="15.75" hidden="false" customHeight="false" outlineLevel="0" collapsed="false">
      <c r="B19" s="21" t="s">
        <v>101</v>
      </c>
      <c r="C19" s="22" t="n">
        <v>20385</v>
      </c>
      <c r="D19" s="23" t="n">
        <f aca="false">C19/$C$5</f>
        <v>0.0135</v>
      </c>
      <c r="F19" s="108" t="s">
        <v>40</v>
      </c>
    </row>
    <row r="20" customFormat="false" ht="15.75" hidden="false" customHeight="false" outlineLevel="0" collapsed="false">
      <c r="B20" s="71" t="s">
        <v>102</v>
      </c>
      <c r="C20" s="117" t="n">
        <v>181200</v>
      </c>
      <c r="D20" s="119" t="n">
        <f aca="false">C20/$C$5</f>
        <v>0.12</v>
      </c>
      <c r="F20" s="110" t="s">
        <v>103</v>
      </c>
    </row>
    <row r="21" customFormat="false" ht="15.75" hidden="false" customHeight="false" outlineLevel="0" collapsed="false">
      <c r="B21" s="71"/>
      <c r="C21" s="72"/>
      <c r="D21" s="109"/>
      <c r="F21" s="110" t="s">
        <v>104</v>
      </c>
    </row>
    <row r="22" customFormat="false" ht="15.75" hidden="false" customHeight="false" outlineLevel="0" collapsed="false">
      <c r="B22" s="71"/>
      <c r="C22" s="72"/>
      <c r="D22" s="109"/>
      <c r="F22" s="110" t="s">
        <v>105</v>
      </c>
    </row>
    <row r="23" customFormat="false" ht="16.5" hidden="false" customHeight="true" outlineLevel="0" collapsed="false">
      <c r="B23" s="71"/>
      <c r="C23" s="15"/>
      <c r="D23" s="73"/>
      <c r="F23" s="110" t="s">
        <v>106</v>
      </c>
    </row>
    <row r="24" customFormat="false" ht="16.5" hidden="false" customHeight="true" outlineLevel="0" collapsed="false">
      <c r="B24" s="8" t="s">
        <v>45</v>
      </c>
      <c r="C24" s="9" t="n">
        <f aca="false">C7+C15</f>
        <v>1074900</v>
      </c>
      <c r="D24" s="10" t="n">
        <f aca="false">C24/$C$5</f>
        <v>0.711854304635762</v>
      </c>
    </row>
    <row r="25" customFormat="false" ht="16.5" hidden="false" customHeight="true" outlineLevel="0" collapsed="false">
      <c r="B25" s="111"/>
      <c r="C25" s="15"/>
      <c r="D25" s="112"/>
      <c r="F25" s="113" t="s">
        <v>46</v>
      </c>
      <c r="Q25" s="114" t="n">
        <f aca="false">Q17-C26</f>
        <v>0</v>
      </c>
    </row>
    <row r="26" customFormat="false" ht="16.5" hidden="false" customHeight="true" outlineLevel="0" collapsed="false">
      <c r="B26" s="8" t="s">
        <v>47</v>
      </c>
      <c r="C26" s="9" t="n">
        <f aca="false">C5-C24</f>
        <v>435100</v>
      </c>
      <c r="D26" s="10" t="n">
        <f aca="false">C26/$C$5</f>
        <v>0.288145695364238</v>
      </c>
      <c r="F26" s="113" t="s">
        <v>48</v>
      </c>
      <c r="Q26" s="114" t="n">
        <f aca="false">SUMPRODUCT(G10:G16,H10:H16)-C5</f>
        <v>0</v>
      </c>
    </row>
    <row r="27" customFormat="false" ht="16.5" hidden="false" customHeight="true" outlineLevel="0" collapsed="false">
      <c r="B27" s="14"/>
      <c r="C27" s="115"/>
      <c r="D27" s="16"/>
    </row>
    <row r="28" customFormat="false" ht="16.5" hidden="false" customHeight="true" outlineLevel="0" collapsed="false">
      <c r="B28" s="8" t="s">
        <v>49</v>
      </c>
      <c r="C28" s="9" t="n">
        <f aca="false">SUM(C29:C42)</f>
        <v>359000</v>
      </c>
      <c r="D28" s="10" t="n">
        <f aca="false">C28/$C$5</f>
        <v>0.237748344370861</v>
      </c>
      <c r="F28" s="116" t="s">
        <v>50</v>
      </c>
    </row>
    <row r="29" customFormat="false" ht="15.75" hidden="false" customHeight="false" outlineLevel="0" collapsed="false">
      <c r="B29" s="71" t="s">
        <v>51</v>
      </c>
      <c r="C29" s="117" t="n">
        <v>92000</v>
      </c>
      <c r="D29" s="23" t="n">
        <f aca="false">C29/$C$5</f>
        <v>0.0609271523178808</v>
      </c>
    </row>
    <row r="30" customFormat="false" ht="15.75" hidden="false" customHeight="false" outlineLevel="0" collapsed="false">
      <c r="B30" s="71" t="s">
        <v>52</v>
      </c>
      <c r="C30" s="117" t="n">
        <v>38000</v>
      </c>
      <c r="D30" s="23" t="n">
        <f aca="false">C30/$C$5</f>
        <v>0.0251655629139073</v>
      </c>
    </row>
    <row r="31" customFormat="false" ht="15.75" hidden="false" customHeight="false" outlineLevel="0" collapsed="false">
      <c r="B31" s="71" t="s">
        <v>53</v>
      </c>
      <c r="C31" s="117" t="n">
        <v>22000</v>
      </c>
      <c r="D31" s="23" t="n">
        <f aca="false">C31/$C$5</f>
        <v>0.0145695364238411</v>
      </c>
    </row>
    <row r="32" customFormat="false" ht="15.75" hidden="false" customHeight="false" outlineLevel="0" collapsed="false">
      <c r="B32" s="71" t="s">
        <v>54</v>
      </c>
      <c r="C32" s="117" t="n">
        <v>3800</v>
      </c>
      <c r="D32" s="23" t="n">
        <f aca="false">C32/$C$5</f>
        <v>0.00251655629139073</v>
      </c>
    </row>
    <row r="33" customFormat="false" ht="15.75" hidden="false" customHeight="false" outlineLevel="0" collapsed="false">
      <c r="B33" s="71" t="s">
        <v>55</v>
      </c>
      <c r="C33" s="117" t="n">
        <v>6500</v>
      </c>
      <c r="D33" s="23" t="n">
        <f aca="false">C33/$C$5</f>
        <v>0.0043046357615894</v>
      </c>
    </row>
    <row r="34" customFormat="false" ht="15.75" hidden="false" customHeight="false" outlineLevel="0" collapsed="false">
      <c r="B34" s="71" t="s">
        <v>57</v>
      </c>
      <c r="C34" s="117" t="n">
        <v>6000</v>
      </c>
      <c r="D34" s="23" t="n">
        <f aca="false">C34/$C$5</f>
        <v>0.00397350993377483</v>
      </c>
    </row>
    <row r="35" customFormat="false" ht="15.75" hidden="false" customHeight="false" outlineLevel="0" collapsed="false">
      <c r="B35" s="71" t="s">
        <v>58</v>
      </c>
      <c r="C35" s="117" t="n">
        <v>1400</v>
      </c>
      <c r="D35" s="23" t="n">
        <f aca="false">C35/$C$5</f>
        <v>0.000927152317880795</v>
      </c>
    </row>
    <row r="36" customFormat="false" ht="15.75" hidden="false" customHeight="false" outlineLevel="0" collapsed="false">
      <c r="B36" s="71" t="s">
        <v>79</v>
      </c>
      <c r="C36" s="117" t="n">
        <v>2600</v>
      </c>
      <c r="D36" s="23" t="n">
        <f aca="false">C36/$C$5</f>
        <v>0.00172185430463576</v>
      </c>
    </row>
    <row r="37" customFormat="false" ht="15.75" hidden="false" customHeight="false" outlineLevel="0" collapsed="false">
      <c r="B37" s="71" t="s">
        <v>107</v>
      </c>
      <c r="C37" s="117" t="n">
        <v>30000</v>
      </c>
      <c r="D37" s="23" t="n">
        <f aca="false">C37/$C$5</f>
        <v>0.0198675496688742</v>
      </c>
    </row>
    <row r="38" customFormat="false" ht="15.75" hidden="false" customHeight="false" outlineLevel="0" collapsed="false">
      <c r="B38" s="71" t="s">
        <v>108</v>
      </c>
      <c r="C38" s="117" t="n">
        <v>35000</v>
      </c>
      <c r="D38" s="23" t="n">
        <f aca="false">C38/$C$5</f>
        <v>0.0231788079470199</v>
      </c>
    </row>
    <row r="39" customFormat="false" ht="15.75" hidden="false" customHeight="false" outlineLevel="0" collapsed="false">
      <c r="B39" s="71" t="s">
        <v>109</v>
      </c>
      <c r="C39" s="117" t="n">
        <v>12000</v>
      </c>
      <c r="D39" s="23" t="n">
        <f aca="false">C39/$C$5</f>
        <v>0.00794701986754967</v>
      </c>
    </row>
    <row r="40" customFormat="false" ht="15.75" hidden="false" customHeight="false" outlineLevel="0" collapsed="false">
      <c r="B40" s="71" t="s">
        <v>61</v>
      </c>
      <c r="C40" s="117" t="n">
        <v>64000</v>
      </c>
      <c r="D40" s="23" t="n">
        <f aca="false">C40/$C$5</f>
        <v>0.0423841059602649</v>
      </c>
    </row>
    <row r="41" customFormat="false" ht="16.5" hidden="false" customHeight="true" outlineLevel="0" collapsed="false">
      <c r="B41" s="71" t="s">
        <v>62</v>
      </c>
      <c r="C41" s="117" t="n">
        <v>40000</v>
      </c>
      <c r="D41" s="23" t="n">
        <f aca="false">C41/$C$5</f>
        <v>0.0264900662251656</v>
      </c>
    </row>
    <row r="42" customFormat="false" ht="16.5" hidden="false" customHeight="true" outlineLevel="0" collapsed="false">
      <c r="B42" s="71" t="s">
        <v>64</v>
      </c>
      <c r="C42" s="117" t="n">
        <v>5700</v>
      </c>
      <c r="D42" s="23" t="n">
        <f aca="false">C42/$C$5</f>
        <v>0.00377483443708609</v>
      </c>
    </row>
    <row r="43" customFormat="false" ht="15.75" hidden="false" customHeight="false" outlineLevel="0" collapsed="false">
      <c r="B43" s="118" t="s">
        <v>65</v>
      </c>
      <c r="C43" s="9" t="n">
        <f aca="false">C26-C28</f>
        <v>76100</v>
      </c>
      <c r="D43" s="10" t="n">
        <f aca="false">C43/$C$5</f>
        <v>0.0503973509933775</v>
      </c>
    </row>
  </sheetData>
  <mergeCells count="15">
    <mergeCell ref="B1:D1"/>
    <mergeCell ref="B2:D2"/>
    <mergeCell ref="F6:V6"/>
    <mergeCell ref="F8:F9"/>
    <mergeCell ref="G8:G9"/>
    <mergeCell ref="H8:H9"/>
    <mergeCell ref="I8:K8"/>
    <mergeCell ref="L8:M8"/>
    <mergeCell ref="N8:N9"/>
    <mergeCell ref="O8:P8"/>
    <mergeCell ref="Q8:R8"/>
    <mergeCell ref="S8:S9"/>
    <mergeCell ref="T8:T9"/>
    <mergeCell ref="U8:U9"/>
    <mergeCell ref="V8:V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.5"/>
    <col collapsed="false" customWidth="true" hidden="false" outlineLevel="0" max="3" min="3" style="1" width="25.5"/>
    <col collapsed="false" customWidth="true" hidden="false" outlineLevel="0" max="4" min="4" style="2" width="12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16" min="9" style="1" width="13"/>
    <col collapsed="false" customWidth="true" hidden="false" outlineLevel="0" max="17" min="17" style="1" width="16"/>
    <col collapsed="false" customWidth="true" hidden="false" outlineLevel="0" max="19" min="18" style="1" width="13"/>
    <col collapsed="false" customWidth="true" hidden="false" outlineLevel="0" max="20" min="20" style="1" width="15"/>
    <col collapsed="false" customWidth="true" hidden="false" outlineLevel="0" max="21" min="21" style="1" width="13"/>
    <col collapsed="false" customWidth="true" hidden="false" outlineLevel="0" max="22" min="22" style="1" width="14"/>
  </cols>
  <sheetData>
    <row r="1" customFormat="false" ht="18" hidden="false" customHeight="true" outlineLevel="0" collapsed="false">
      <c r="B1" s="3" t="s">
        <v>0</v>
      </c>
      <c r="C1" s="3"/>
      <c r="D1" s="3"/>
    </row>
    <row r="2" customFormat="false" ht="15.75" hidden="false" customHeight="false" outlineLevel="0" collapsed="false">
      <c r="B2" s="4" t="s">
        <v>110</v>
      </c>
      <c r="C2" s="4"/>
      <c r="D2" s="4"/>
    </row>
    <row r="3" customFormat="false" ht="15.75" hidden="false" customHeight="false" outlineLevel="0" collapsed="false">
      <c r="B3" s="5" t="s">
        <v>2</v>
      </c>
      <c r="C3" s="6" t="s">
        <v>3</v>
      </c>
      <c r="D3" s="6" t="s">
        <v>4</v>
      </c>
    </row>
    <row r="4" customFormat="false" ht="16.5" hidden="false" customHeight="true" outlineLevel="0" collapsed="false">
      <c r="B4" s="7"/>
    </row>
    <row r="5" customFormat="false" ht="18" hidden="false" customHeight="true" outlineLevel="0" collapsed="false">
      <c r="B5" s="8" t="s">
        <v>5</v>
      </c>
      <c r="C5" s="9" t="n">
        <v>3680000</v>
      </c>
      <c r="D5" s="10" t="n">
        <f aca="false">C5/$C$5</f>
        <v>1</v>
      </c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3"/>
    </row>
    <row r="6" customFormat="false" ht="16.5" hidden="false" customHeight="true" outlineLevel="0" collapsed="false">
      <c r="B6" s="14"/>
      <c r="C6" s="15"/>
      <c r="D6" s="16"/>
      <c r="F6" s="17" t="s">
        <v>111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customFormat="false" ht="16.5" hidden="false" customHeight="true" outlineLevel="0" collapsed="false">
      <c r="B7" s="8" t="s">
        <v>7</v>
      </c>
      <c r="C7" s="9" t="n">
        <f aca="false">SUM(C8:C14)</f>
        <v>1670200</v>
      </c>
      <c r="D7" s="10" t="n">
        <f aca="false">C7/$C$5</f>
        <v>0.453858695652174</v>
      </c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20"/>
    </row>
    <row r="8" customFormat="false" ht="16.5" hidden="false" customHeight="true" outlineLevel="0" collapsed="false">
      <c r="B8" s="21" t="s">
        <v>112</v>
      </c>
      <c r="C8" s="22" t="n">
        <v>1155000</v>
      </c>
      <c r="D8" s="23" t="n">
        <f aca="false">C8/$C$5</f>
        <v>0.313858695652174</v>
      </c>
      <c r="F8" s="24" t="s">
        <v>9</v>
      </c>
      <c r="G8" s="25" t="s">
        <v>10</v>
      </c>
      <c r="H8" s="25" t="s">
        <v>11</v>
      </c>
      <c r="I8" s="26" t="s">
        <v>12</v>
      </c>
      <c r="J8" s="26"/>
      <c r="K8" s="26"/>
      <c r="L8" s="26" t="s">
        <v>13</v>
      </c>
      <c r="M8" s="26"/>
      <c r="N8" s="27" t="s">
        <v>14</v>
      </c>
      <c r="O8" s="26" t="s">
        <v>15</v>
      </c>
      <c r="P8" s="26"/>
      <c r="Q8" s="26" t="s">
        <v>16</v>
      </c>
      <c r="R8" s="26"/>
      <c r="S8" s="25" t="s">
        <v>17</v>
      </c>
      <c r="T8" s="28" t="s">
        <v>18</v>
      </c>
      <c r="U8" s="25" t="s">
        <v>19</v>
      </c>
      <c r="V8" s="29" t="s">
        <v>20</v>
      </c>
    </row>
    <row r="9" customFormat="false" ht="16.5" hidden="false" customHeight="true" outlineLevel="0" collapsed="false">
      <c r="B9" s="21" t="s">
        <v>113</v>
      </c>
      <c r="C9" s="22" t="n">
        <v>294400</v>
      </c>
      <c r="D9" s="23" t="n">
        <f aca="false">C9/$C$5</f>
        <v>0.08</v>
      </c>
      <c r="F9" s="24"/>
      <c r="G9" s="25"/>
      <c r="H9" s="25"/>
      <c r="I9" s="30" t="s">
        <v>22</v>
      </c>
      <c r="J9" s="31" t="s">
        <v>23</v>
      </c>
      <c r="K9" s="32" t="s">
        <v>24</v>
      </c>
      <c r="L9" s="33" t="s">
        <v>4</v>
      </c>
      <c r="M9" s="34" t="s">
        <v>25</v>
      </c>
      <c r="N9" s="27"/>
      <c r="O9" s="35" t="s">
        <v>25</v>
      </c>
      <c r="P9" s="36" t="s">
        <v>4</v>
      </c>
      <c r="Q9" s="37" t="s">
        <v>25</v>
      </c>
      <c r="R9" s="33" t="s">
        <v>4</v>
      </c>
      <c r="S9" s="25"/>
      <c r="T9" s="25"/>
      <c r="U9" s="25"/>
      <c r="V9" s="29"/>
    </row>
    <row r="10" customFormat="false" ht="16.5" hidden="false" customHeight="true" outlineLevel="0" collapsed="false">
      <c r="B10" s="21" t="s">
        <v>26</v>
      </c>
      <c r="C10" s="22" t="n">
        <v>36800</v>
      </c>
      <c r="D10" s="23" t="n">
        <f aca="false">C10/$C$5</f>
        <v>0.01</v>
      </c>
      <c r="F10" s="38" t="s">
        <v>27</v>
      </c>
      <c r="G10" s="39" t="n">
        <v>40000</v>
      </c>
      <c r="H10" s="40" t="n">
        <v>30</v>
      </c>
      <c r="I10" s="41" t="n">
        <v>9.6</v>
      </c>
      <c r="J10" s="42" t="n">
        <f aca="false">($C$7-$C$8)/$C$5</f>
        <v>0.14</v>
      </c>
      <c r="K10" s="43" t="n">
        <f aca="false">H10*J10</f>
        <v>4.2</v>
      </c>
      <c r="L10" s="44" t="n">
        <f aca="false">$C$15/$C$5</f>
        <v>0.23</v>
      </c>
      <c r="M10" s="45" t="n">
        <f aca="false">H10*L10</f>
        <v>6.9</v>
      </c>
      <c r="N10" s="46" t="n">
        <f aca="false">I10+K10+M10</f>
        <v>20.7</v>
      </c>
      <c r="O10" s="47" t="n">
        <f aca="false">H10-N10</f>
        <v>9.3</v>
      </c>
      <c r="P10" s="48" t="n">
        <f aca="false">O10/H10</f>
        <v>0.31</v>
      </c>
      <c r="Q10" s="49" t="n">
        <f aca="false">O10*G10</f>
        <v>372000</v>
      </c>
      <c r="R10" s="48" t="n">
        <f aca="false">Q10/$Q$17</f>
        <v>0.319752449716349</v>
      </c>
      <c r="S10" s="50" t="n">
        <f aca="false">$C$28*R10/G10</f>
        <v>7.01057246003094</v>
      </c>
      <c r="T10" s="43" t="n">
        <f aca="false">(I10+S10)/(1-(J10+L10))</f>
        <v>26.3659880317952</v>
      </c>
      <c r="U10" s="51" t="n">
        <v>0.1</v>
      </c>
      <c r="V10" s="52" t="n">
        <f aca="false">(I10+S10)/(1-(J10+L10+U10))</f>
        <v>31.3407027547754</v>
      </c>
    </row>
    <row r="11" customFormat="false" ht="15.75" hidden="false" customHeight="false" outlineLevel="0" collapsed="false">
      <c r="B11" s="21" t="s">
        <v>114</v>
      </c>
      <c r="C11" s="22" t="n">
        <v>73600</v>
      </c>
      <c r="D11" s="23" t="n">
        <f aca="false">C11/$C$5</f>
        <v>0.02</v>
      </c>
      <c r="F11" s="38" t="s">
        <v>29</v>
      </c>
      <c r="G11" s="39" t="n">
        <v>18000</v>
      </c>
      <c r="H11" s="40" t="n">
        <v>70</v>
      </c>
      <c r="I11" s="41" t="n">
        <v>22</v>
      </c>
      <c r="J11" s="53" t="n">
        <f aca="false">($C$7-$C$8)/$C$5</f>
        <v>0.14</v>
      </c>
      <c r="K11" s="46" t="n">
        <f aca="false">H11*J11</f>
        <v>9.8</v>
      </c>
      <c r="L11" s="54" t="n">
        <f aca="false">$C$15/$C$5</f>
        <v>0.23</v>
      </c>
      <c r="M11" s="55" t="n">
        <f aca="false">H11*L11</f>
        <v>16.1</v>
      </c>
      <c r="N11" s="56" t="n">
        <f aca="false">I11+K11+M11</f>
        <v>47.9</v>
      </c>
      <c r="O11" s="57" t="n">
        <f aca="false">H11-N11</f>
        <v>22.1</v>
      </c>
      <c r="P11" s="58" t="n">
        <f aca="false">O11/H11</f>
        <v>0.315714285714286</v>
      </c>
      <c r="Q11" s="59" t="n">
        <f aca="false">O11*G11</f>
        <v>397800</v>
      </c>
      <c r="R11" s="60" t="n">
        <f aca="false">Q11/$Q$17</f>
        <v>0.34192882929345</v>
      </c>
      <c r="S11" s="61" t="n">
        <f aca="false">$C$28*R11/G11</f>
        <v>16.6595324050198</v>
      </c>
      <c r="T11" s="50" t="n">
        <f aca="false">(I11+S11)/(1-(J11+L11))</f>
        <v>61.364337150825</v>
      </c>
      <c r="U11" s="51" t="n">
        <v>0.18</v>
      </c>
      <c r="V11" s="62" t="n">
        <f aca="false">(I11+S11)/(1-(J11+L11+U11))</f>
        <v>85.9100720111551</v>
      </c>
    </row>
    <row r="12" customFormat="false" ht="15.75" hidden="false" customHeight="false" outlineLevel="0" collapsed="false">
      <c r="B12" s="21" t="s">
        <v>115</v>
      </c>
      <c r="C12" s="22" t="n">
        <v>110400</v>
      </c>
      <c r="D12" s="23" t="n">
        <f aca="false">C12/$C$5</f>
        <v>0.03</v>
      </c>
      <c r="F12" s="38" t="s">
        <v>31</v>
      </c>
      <c r="G12" s="39" t="n">
        <v>25000</v>
      </c>
      <c r="H12" s="40" t="n">
        <v>20</v>
      </c>
      <c r="I12" s="41" t="n">
        <v>6.2</v>
      </c>
      <c r="J12" s="53" t="n">
        <f aca="false">($C$7-$C$8)/$C$5</f>
        <v>0.14</v>
      </c>
      <c r="K12" s="43" t="n">
        <f aca="false">H12*J12</f>
        <v>2.8</v>
      </c>
      <c r="L12" s="63" t="n">
        <f aca="false">$C$15/$C$5</f>
        <v>0.23</v>
      </c>
      <c r="M12" s="64" t="n">
        <f aca="false">H12*L12</f>
        <v>4.6</v>
      </c>
      <c r="N12" s="65" t="n">
        <f aca="false">I12+K12+M12</f>
        <v>13.6</v>
      </c>
      <c r="O12" s="57" t="n">
        <f aca="false">H12-N12</f>
        <v>6.4</v>
      </c>
      <c r="P12" s="66" t="n">
        <f aca="false">O12/H12</f>
        <v>0.32</v>
      </c>
      <c r="Q12" s="67" t="n">
        <f aca="false">O12*G12</f>
        <v>160000</v>
      </c>
      <c r="R12" s="68" t="n">
        <f aca="false">Q12/$Q$17</f>
        <v>0.13752793536187</v>
      </c>
      <c r="S12" s="43" t="n">
        <f aca="false">$C$28*R12/G12</f>
        <v>4.82447997249441</v>
      </c>
      <c r="T12" s="69" t="n">
        <f aca="false">(I12+S12)/(1-(J12+L12))</f>
        <v>17.4991745595149</v>
      </c>
      <c r="U12" s="51" t="n">
        <v>0.08</v>
      </c>
      <c r="V12" s="70" t="n">
        <f aca="false">(I12+S12)/(1-(J12+L12+U12))</f>
        <v>20.0445090408989</v>
      </c>
    </row>
    <row r="13" customFormat="false" ht="15.75" hidden="false" customHeight="false" outlineLevel="0" collapsed="false">
      <c r="B13" s="71"/>
      <c r="C13" s="72"/>
      <c r="D13" s="73"/>
      <c r="F13" s="38" t="s">
        <v>32</v>
      </c>
      <c r="G13" s="39" t="n">
        <v>8000</v>
      </c>
      <c r="H13" s="40" t="n">
        <v>90</v>
      </c>
      <c r="I13" s="41" t="n">
        <v>27.5</v>
      </c>
      <c r="J13" s="53" t="n">
        <f aca="false">($C$7-$C$8)/$C$5</f>
        <v>0.14</v>
      </c>
      <c r="K13" s="43" t="n">
        <f aca="false">H13*J13</f>
        <v>12.6</v>
      </c>
      <c r="L13" s="63" t="n">
        <f aca="false">$C$15/$C$5</f>
        <v>0.23</v>
      </c>
      <c r="M13" s="45" t="n">
        <f aca="false">H13*L13</f>
        <v>20.7</v>
      </c>
      <c r="N13" s="46" t="n">
        <f aca="false">I13+K13+M13</f>
        <v>60.8</v>
      </c>
      <c r="O13" s="57" t="n">
        <f aca="false">H13-N13</f>
        <v>29.2</v>
      </c>
      <c r="P13" s="68" t="n">
        <f aca="false">O13/H13</f>
        <v>0.324444444444445</v>
      </c>
      <c r="Q13" s="74" t="n">
        <f aca="false">O13*G13</f>
        <v>233600</v>
      </c>
      <c r="R13" s="68" t="n">
        <f aca="false">Q13/$Q$17</f>
        <v>0.200790785628331</v>
      </c>
      <c r="S13" s="43" t="n">
        <f aca="false">$C$28*R13/G13</f>
        <v>22.0116898745058</v>
      </c>
      <c r="T13" s="43" t="n">
        <f aca="false">(I13+S13)/(1-(J13+L13))</f>
        <v>78.5899839277869</v>
      </c>
      <c r="U13" s="51" t="n">
        <v>0.2</v>
      </c>
      <c r="V13" s="75" t="n">
        <f aca="false">(I13+S13)/(1-(J13+L13+U13))</f>
        <v>115.143464824432</v>
      </c>
    </row>
    <row r="14" customFormat="false" ht="16.5" hidden="false" customHeight="true" outlineLevel="0" collapsed="false">
      <c r="B14" s="71"/>
      <c r="C14" s="72"/>
      <c r="D14" s="73"/>
      <c r="F14" s="38"/>
      <c r="G14" s="76"/>
      <c r="H14" s="77"/>
      <c r="I14" s="78"/>
      <c r="J14" s="79"/>
      <c r="K14" s="80"/>
      <c r="L14" s="81"/>
      <c r="M14" s="82"/>
      <c r="N14" s="78"/>
      <c r="O14" s="83"/>
      <c r="P14" s="68"/>
      <c r="Q14" s="84"/>
      <c r="R14" s="68"/>
      <c r="S14" s="80"/>
      <c r="T14" s="80"/>
      <c r="U14" s="80"/>
      <c r="V14" s="85"/>
    </row>
    <row r="15" customFormat="false" ht="16.5" hidden="false" customHeight="true" outlineLevel="0" collapsed="false">
      <c r="B15" s="8" t="s">
        <v>33</v>
      </c>
      <c r="C15" s="9" t="n">
        <f aca="false">SUM(C16:C22)</f>
        <v>846400</v>
      </c>
      <c r="D15" s="10" t="n">
        <f aca="false">C15/$C$5</f>
        <v>0.23</v>
      </c>
      <c r="F15" s="86"/>
      <c r="G15" s="87"/>
      <c r="H15" s="88"/>
      <c r="I15" s="89"/>
      <c r="J15" s="90"/>
      <c r="K15" s="88" t="s">
        <v>34</v>
      </c>
      <c r="L15" s="81"/>
      <c r="M15" s="91"/>
      <c r="N15" s="89"/>
      <c r="O15" s="92"/>
      <c r="P15" s="88"/>
      <c r="Q15" s="93"/>
      <c r="R15" s="88"/>
      <c r="S15" s="77"/>
      <c r="T15" s="77"/>
      <c r="U15" s="77"/>
      <c r="V15" s="94"/>
    </row>
    <row r="16" customFormat="false" ht="16.5" hidden="false" customHeight="true" outlineLevel="0" collapsed="false">
      <c r="B16" s="21" t="s">
        <v>35</v>
      </c>
      <c r="C16" s="22" t="n">
        <v>441600</v>
      </c>
      <c r="D16" s="23" t="n">
        <f aca="false">C16/$C$5</f>
        <v>0.12</v>
      </c>
      <c r="F16" s="95"/>
      <c r="G16" s="96"/>
      <c r="H16" s="96"/>
      <c r="I16" s="97"/>
      <c r="J16" s="98" t="s">
        <v>34</v>
      </c>
      <c r="K16" s="96"/>
      <c r="L16" s="99"/>
      <c r="M16" s="100"/>
      <c r="N16" s="97"/>
      <c r="O16" s="101"/>
      <c r="P16" s="96"/>
      <c r="Q16" s="102"/>
      <c r="R16" s="96"/>
      <c r="S16" s="96"/>
      <c r="T16" s="96"/>
      <c r="U16" s="96"/>
      <c r="V16" s="103"/>
    </row>
    <row r="17" customFormat="false" ht="18" hidden="false" customHeight="true" outlineLevel="0" collapsed="false">
      <c r="B17" s="21" t="s">
        <v>36</v>
      </c>
      <c r="C17" s="22" t="n">
        <v>134320</v>
      </c>
      <c r="D17" s="23" t="n">
        <f aca="false">C17/$C$5</f>
        <v>0.0365</v>
      </c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5" t="s">
        <v>37</v>
      </c>
      <c r="Q17" s="106" t="n">
        <f aca="false">SUM(Q10:Q16)</f>
        <v>1163400</v>
      </c>
      <c r="R17" s="107" t="n">
        <f aca="false">SUM(R10:R16)</f>
        <v>1</v>
      </c>
      <c r="S17" s="104"/>
      <c r="T17" s="104"/>
      <c r="U17" s="104"/>
      <c r="V17" s="104"/>
    </row>
    <row r="18" customFormat="false" ht="16.5" hidden="false" customHeight="true" outlineLevel="0" collapsed="false">
      <c r="B18" s="21" t="s">
        <v>38</v>
      </c>
      <c r="C18" s="22" t="n">
        <v>160080</v>
      </c>
      <c r="D18" s="23" t="n">
        <f aca="false">C18/$C$5</f>
        <v>0.0435</v>
      </c>
    </row>
    <row r="19" customFormat="false" ht="15.75" hidden="false" customHeight="false" outlineLevel="0" collapsed="false">
      <c r="B19" s="21" t="s">
        <v>116</v>
      </c>
      <c r="C19" s="22" t="n">
        <v>110400</v>
      </c>
      <c r="D19" s="23" t="n">
        <f aca="false">C19/$C$5</f>
        <v>0.03</v>
      </c>
      <c r="F19" s="108" t="s">
        <v>40</v>
      </c>
    </row>
    <row r="20" customFormat="false" ht="15.75" hidden="false" customHeight="false" outlineLevel="0" collapsed="false">
      <c r="B20" s="71"/>
      <c r="C20" s="72"/>
      <c r="D20" s="109"/>
      <c r="F20" s="110" t="s">
        <v>117</v>
      </c>
    </row>
    <row r="21" customFormat="false" ht="15.75" hidden="false" customHeight="false" outlineLevel="0" collapsed="false">
      <c r="B21" s="71"/>
      <c r="C21" s="72"/>
      <c r="D21" s="109"/>
      <c r="F21" s="110" t="s">
        <v>118</v>
      </c>
    </row>
    <row r="22" customFormat="false" ht="15.75" hidden="false" customHeight="false" outlineLevel="0" collapsed="false">
      <c r="B22" s="71"/>
      <c r="C22" s="72"/>
      <c r="D22" s="109"/>
      <c r="F22" s="110" t="s">
        <v>119</v>
      </c>
    </row>
    <row r="23" customFormat="false" ht="16.5" hidden="false" customHeight="true" outlineLevel="0" collapsed="false">
      <c r="B23" s="71"/>
      <c r="C23" s="15"/>
      <c r="D23" s="73"/>
      <c r="F23" s="110" t="s">
        <v>120</v>
      </c>
    </row>
    <row r="24" customFormat="false" ht="16.5" hidden="false" customHeight="true" outlineLevel="0" collapsed="false">
      <c r="B24" s="8" t="s">
        <v>45</v>
      </c>
      <c r="C24" s="9" t="n">
        <f aca="false">C7+C15</f>
        <v>2516600</v>
      </c>
      <c r="D24" s="10" t="n">
        <f aca="false">C24/$C$5</f>
        <v>0.683858695652174</v>
      </c>
    </row>
    <row r="25" customFormat="false" ht="16.5" hidden="false" customHeight="true" outlineLevel="0" collapsed="false">
      <c r="B25" s="111"/>
      <c r="C25" s="15"/>
      <c r="D25" s="112"/>
      <c r="F25" s="113" t="s">
        <v>46</v>
      </c>
      <c r="Q25" s="114" t="n">
        <f aca="false">Q17-C26</f>
        <v>0</v>
      </c>
    </row>
    <row r="26" customFormat="false" ht="16.5" hidden="false" customHeight="true" outlineLevel="0" collapsed="false">
      <c r="B26" s="8" t="s">
        <v>47</v>
      </c>
      <c r="C26" s="9" t="n">
        <f aca="false">C5-C24</f>
        <v>1163400</v>
      </c>
      <c r="D26" s="10" t="n">
        <f aca="false">C26/$C$5</f>
        <v>0.316141304347826</v>
      </c>
      <c r="F26" s="113" t="s">
        <v>48</v>
      </c>
      <c r="Q26" s="114" t="n">
        <f aca="false">SUMPRODUCT(G10:G16,H10:H16)-C5</f>
        <v>0</v>
      </c>
    </row>
    <row r="27" customFormat="false" ht="16.5" hidden="false" customHeight="true" outlineLevel="0" collapsed="false">
      <c r="B27" s="14"/>
      <c r="C27" s="115"/>
      <c r="D27" s="16"/>
    </row>
    <row r="28" customFormat="false" ht="16.5" hidden="false" customHeight="true" outlineLevel="0" collapsed="false">
      <c r="B28" s="8" t="s">
        <v>49</v>
      </c>
      <c r="C28" s="9" t="n">
        <f aca="false">SUM(C29:C42)</f>
        <v>877000</v>
      </c>
      <c r="D28" s="10" t="n">
        <f aca="false">C28/$C$5</f>
        <v>0.238315217391304</v>
      </c>
      <c r="F28" s="116" t="s">
        <v>50</v>
      </c>
    </row>
    <row r="29" customFormat="false" ht="15.75" hidden="false" customHeight="false" outlineLevel="0" collapsed="false">
      <c r="B29" s="71" t="s">
        <v>51</v>
      </c>
      <c r="C29" s="117" t="n">
        <v>310000</v>
      </c>
      <c r="D29" s="23" t="n">
        <f aca="false">C29/$C$5</f>
        <v>0.0842391304347826</v>
      </c>
    </row>
    <row r="30" customFormat="false" ht="15.75" hidden="false" customHeight="false" outlineLevel="0" collapsed="false">
      <c r="B30" s="71" t="s">
        <v>52</v>
      </c>
      <c r="C30" s="117" t="n">
        <v>98000</v>
      </c>
      <c r="D30" s="23" t="n">
        <f aca="false">C30/$C$5</f>
        <v>0.0266304347826087</v>
      </c>
    </row>
    <row r="31" customFormat="false" ht="15.75" hidden="false" customHeight="false" outlineLevel="0" collapsed="false">
      <c r="B31" s="71" t="s">
        <v>121</v>
      </c>
      <c r="C31" s="117" t="n">
        <v>140000</v>
      </c>
      <c r="D31" s="23" t="n">
        <f aca="false">C31/$C$5</f>
        <v>0.0380434782608696</v>
      </c>
    </row>
    <row r="32" customFormat="false" ht="15.75" hidden="false" customHeight="false" outlineLevel="0" collapsed="false">
      <c r="B32" s="71" t="s">
        <v>122</v>
      </c>
      <c r="C32" s="117" t="n">
        <v>45000</v>
      </c>
      <c r="D32" s="23" t="n">
        <f aca="false">C32/$C$5</f>
        <v>0.0122282608695652</v>
      </c>
    </row>
    <row r="33" customFormat="false" ht="15.75" hidden="false" customHeight="false" outlineLevel="0" collapsed="false">
      <c r="B33" s="71" t="s">
        <v>54</v>
      </c>
      <c r="C33" s="117" t="n">
        <v>6500</v>
      </c>
      <c r="D33" s="23" t="n">
        <f aca="false">C33/$C$5</f>
        <v>0.00176630434782609</v>
      </c>
    </row>
    <row r="34" customFormat="false" ht="15.75" hidden="false" customHeight="false" outlineLevel="0" collapsed="false">
      <c r="B34" s="71" t="s">
        <v>55</v>
      </c>
      <c r="C34" s="117" t="n">
        <v>9800</v>
      </c>
      <c r="D34" s="23" t="n">
        <f aca="false">C34/$C$5</f>
        <v>0.00266304347826087</v>
      </c>
    </row>
    <row r="35" customFormat="false" ht="15.75" hidden="false" customHeight="false" outlineLevel="0" collapsed="false">
      <c r="B35" s="71" t="s">
        <v>57</v>
      </c>
      <c r="C35" s="117" t="n">
        <v>22000</v>
      </c>
      <c r="D35" s="23" t="n">
        <f aca="false">C35/$C$5</f>
        <v>0.00597826086956522</v>
      </c>
    </row>
    <row r="36" customFormat="false" ht="15.75" hidden="false" customHeight="false" outlineLevel="0" collapsed="false">
      <c r="B36" s="71" t="s">
        <v>58</v>
      </c>
      <c r="C36" s="117" t="n">
        <v>2100</v>
      </c>
      <c r="D36" s="23" t="n">
        <f aca="false">C36/$C$5</f>
        <v>0.000570652173913044</v>
      </c>
    </row>
    <row r="37" customFormat="false" ht="15.75" hidden="false" customHeight="false" outlineLevel="0" collapsed="false">
      <c r="B37" s="71" t="s">
        <v>79</v>
      </c>
      <c r="C37" s="117" t="n">
        <v>5600</v>
      </c>
      <c r="D37" s="23" t="n">
        <f aca="false">C37/$C$5</f>
        <v>0.00152173913043478</v>
      </c>
    </row>
    <row r="38" customFormat="false" ht="15.75" hidden="false" customHeight="false" outlineLevel="0" collapsed="false">
      <c r="B38" s="71" t="s">
        <v>80</v>
      </c>
      <c r="C38" s="117" t="n">
        <v>36000</v>
      </c>
      <c r="D38" s="23" t="n">
        <f aca="false">C38/$C$5</f>
        <v>0.00978260869565218</v>
      </c>
    </row>
    <row r="39" customFormat="false" ht="15.75" hidden="false" customHeight="false" outlineLevel="0" collapsed="false">
      <c r="B39" s="71" t="s">
        <v>123</v>
      </c>
      <c r="C39" s="117" t="n">
        <v>4000</v>
      </c>
      <c r="D39" s="23" t="n">
        <f aca="false">C39/$C$5</f>
        <v>0.00108695652173913</v>
      </c>
    </row>
    <row r="40" customFormat="false" ht="15.75" hidden="false" customHeight="false" outlineLevel="0" collapsed="false">
      <c r="B40" s="71" t="s">
        <v>61</v>
      </c>
      <c r="C40" s="117" t="n">
        <v>120000</v>
      </c>
      <c r="D40" s="23" t="n">
        <f aca="false">C40/$C$5</f>
        <v>0.0326086956521739</v>
      </c>
    </row>
    <row r="41" customFormat="false" ht="16.5" hidden="false" customHeight="true" outlineLevel="0" collapsed="false">
      <c r="B41" s="71" t="s">
        <v>62</v>
      </c>
      <c r="C41" s="117" t="n">
        <v>60000</v>
      </c>
      <c r="D41" s="23" t="n">
        <f aca="false">C41/$C$5</f>
        <v>0.016304347826087</v>
      </c>
    </row>
    <row r="42" customFormat="false" ht="16.5" hidden="false" customHeight="true" outlineLevel="0" collapsed="false">
      <c r="B42" s="71" t="s">
        <v>64</v>
      </c>
      <c r="C42" s="117" t="n">
        <v>18000</v>
      </c>
      <c r="D42" s="23" t="n">
        <f aca="false">C42/$C$5</f>
        <v>0.00489130434782609</v>
      </c>
    </row>
    <row r="43" customFormat="false" ht="15.75" hidden="false" customHeight="false" outlineLevel="0" collapsed="false">
      <c r="B43" s="118" t="s">
        <v>65</v>
      </c>
      <c r="C43" s="9" t="n">
        <f aca="false">C26-C28</f>
        <v>286400</v>
      </c>
      <c r="D43" s="10" t="n">
        <f aca="false">C43/$C$5</f>
        <v>0.0778260869565217</v>
      </c>
    </row>
  </sheetData>
  <mergeCells count="15">
    <mergeCell ref="B1:D1"/>
    <mergeCell ref="B2:D2"/>
    <mergeCell ref="F6:V6"/>
    <mergeCell ref="F8:F9"/>
    <mergeCell ref="G8:G9"/>
    <mergeCell ref="H8:H9"/>
    <mergeCell ref="I8:K8"/>
    <mergeCell ref="L8:M8"/>
    <mergeCell ref="N8:N9"/>
    <mergeCell ref="O8:P8"/>
    <mergeCell ref="Q8:R8"/>
    <mergeCell ref="S8:S9"/>
    <mergeCell ref="T8:T9"/>
    <mergeCell ref="U8:U9"/>
    <mergeCell ref="V8:V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2022-05-25T23:39:19Z</dcterms:created>
  <dc:creator>Usuário do Microsoft Office</dc:creator>
  <dc:description/>
  <dc:language>en-US</dc:language>
  <cp:lastModifiedBy>José Angelo Ferreira</cp:lastModifiedBy>
  <dcterms:modified xsi:type="dcterms:W3CDTF">2026-10-28T21:58:25Z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